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ials" sheetId="2" state="visible" r:id="rId4"/>
    <sheet name="Summary" sheetId="3" state="visible" r:id="rId5"/>
    <sheet name="Barrier" sheetId="4" state="visible" r:id="rId6"/>
    <sheet name="Wall" sheetId="5" state="visible" r:id="rId7"/>
    <sheet name="Templating" sheetId="6" state="visible" r:id="rId8"/>
    <sheet name="FloorPrep" sheetId="7" state="visible" r:id="rId9"/>
    <sheet name="Fir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<sst xmlns="http://schemas.openxmlformats.org/spreadsheetml/2006/main" count="159" uniqueCount="87">
  <si>
    <t xml:space="preserve">Five business models - financial workbook</t>
  </si>
  <si>
    <t xml:space="preserve">What this is</t>
  </si>
  <si>
    <t xml:space="preserve">One model behind the five buildouts. Every figure on every other tab is a formula driven by the Dials tab.</t>
  </si>
  <si>
    <t xml:space="preserve">How to use it</t>
  </si>
  <si>
    <t xml:space="preserve">Edit ONLY the blue cells on 'Dials'. Everything else recalculates.</t>
  </si>
  <si>
    <t xml:space="preserve">Colour legend</t>
  </si>
  <si>
    <t xml:space="preserve">  Blue text</t>
  </si>
  <si>
    <t xml:space="preserve">A hardcoded input or scenario lever. These are the cells you edit.</t>
  </si>
  <si>
    <t xml:space="preserve">  Black text</t>
  </si>
  <si>
    <t xml:space="preserve">A formula. Do not overwrite.</t>
  </si>
  <si>
    <t xml:space="preserve">  Green text</t>
  </si>
  <si>
    <t xml:space="preserve">A link pulling a value from another sheet.</t>
  </si>
  <si>
    <t xml:space="preserve">  Yellow fill</t>
  </si>
  <si>
    <t xml:space="preserve">A key assumption that materially changes the answer.</t>
  </si>
  <si>
    <t xml:space="preserve">Tabs</t>
  </si>
  <si>
    <t xml:space="preserve">  Dials</t>
  </si>
  <si>
    <t xml:space="preserve">Every input: commission, target, price, churn, market size, sales rate.</t>
  </si>
  <si>
    <t xml:space="preserve">  Summary</t>
  </si>
  <si>
    <t xml:space="preserve">The five compared: net per customer, LTV, break-even, share of market.</t>
  </si>
  <si>
    <t xml:space="preserve">  Barrier ... Fire</t>
  </si>
  <si>
    <t xml:space="preserve">A 24-month projection per idea.</t>
  </si>
  <si>
    <t xml:space="preserve">Sourcing</t>
  </si>
  <si>
    <t xml:space="preserve">Apple's 15% commission under the Small Business Program (up to $1M proceeds) is read off Apple's developer page [vendor].</t>
  </si>
  <si>
    <t xml:space="preserve">SMB SaaS monthly churn benchmarks of 3-5% are third-party reported and NOT independently confirmed [review].</t>
  </si>
  <si>
    <t xml:space="preserve">Market counts are third-party reported [review]; sources are listed in SOURCES.md.</t>
  </si>
  <si>
    <t xml:space="preserve">Churn rates, sales rates and the $6,000 target are ASSUMPTIONS. Nobody has paid for any of these products, so no figure here is measured.</t>
  </si>
  <si>
    <t xml:space="preserve">The one caveat</t>
  </si>
  <si>
    <t xml:space="preserve">Break-even is unaffected by churn; the replacement treadmill is. At 8% monthly churn you replace twice the customers for the same revenue.</t>
  </si>
  <si>
    <t xml:space="preserve">Dials - edit the blue cells only</t>
  </si>
  <si>
    <t xml:space="preserve">Global</t>
  </si>
  <si>
    <t xml:space="preserve">Apple commission</t>
  </si>
  <si>
    <t xml:space="preserve">15% under the App Store Small Business Program, up to $1M proceeds [vendor]. Rises to 30% above that threshold.</t>
  </si>
  <si>
    <t xml:space="preserve">Monthly net target</t>
  </si>
  <si>
    <t xml:space="preserve">What you need the business to pay you, net of Apple. ASSUMPTION.</t>
  </si>
  <si>
    <t xml:space="preserve">Projection start customers</t>
  </si>
  <si>
    <t xml:space="preserve">Everything starts at zero paying customers.</t>
  </si>
  <si>
    <t xml:space="preserve">Per idea</t>
  </si>
  <si>
    <t xml:space="preserve">Idea</t>
  </si>
  <si>
    <t xml:space="preserve">Price / month</t>
  </si>
  <si>
    <t xml:space="preserve">Monthly churn</t>
  </si>
  <si>
    <t xml:space="preserve">US market size</t>
  </si>
  <si>
    <t xml:space="preserve">New customers / month</t>
  </si>
  <si>
    <t xml:space="preserve">Notes</t>
  </si>
  <si>
    <t xml:space="preserve">7 - Barrier survey</t>
  </si>
  <si>
    <t xml:space="preserve">Market size UNKNOWN - the CASp register was not reachable and no national count was found. Counting it is task zero.</t>
  </si>
  <si>
    <t xml:space="preserve">8 - Behind the wall</t>
  </si>
  <si>
    <t xml:space="preserve">127,394 residential remodelers, 2020 Census [review]. Largest denominator.</t>
  </si>
  <si>
    <t xml:space="preserve">1 - Templating</t>
  </si>
  <si>
    <t xml:space="preserve">5,951 countertop businesses [review]. Price raised from $59 to $119 because 2% market share was needed at $59.</t>
  </si>
  <si>
    <t xml:space="preserve">6 - Floor prep</t>
  </si>
  <si>
    <t xml:space="preserve">13,108 flooring contractors [review]. Churn likely worse than 4% - lowest usage frequency of the five.</t>
  </si>
  <si>
    <t xml:space="preserve">2 - Fire &amp; life-safety</t>
  </si>
  <si>
    <t xml:space="preserve">19,845 fire protection &amp; security contractors [review], likely ~half are fire-only. Churn set to 2.5%: the frequency tracker holds customers.</t>
  </si>
  <si>
    <t xml:space="preserve">Blue = edit. Yellow = the assumptions that most change the answer.</t>
  </si>
  <si>
    <t xml:space="preserve">Summary - all five compared</t>
  </si>
  <si>
    <t xml:space="preserve">Every cell below is a formula driven by Dials. Nothing here is typed.</t>
  </si>
  <si>
    <t xml:space="preserve">Price / mo</t>
  </si>
  <si>
    <t xml:space="preserve">Net / mo
after Apple</t>
  </si>
  <si>
    <t xml:space="preserve">Monthly
churn</t>
  </si>
  <si>
    <t xml:space="preserve">Lifetime
(months)</t>
  </si>
  <si>
    <t xml:space="preserve">LTV</t>
  </si>
  <si>
    <t xml:space="preserve">Break-even
customers</t>
  </si>
  <si>
    <t xml:space="preserve">US market
size</t>
  </si>
  <si>
    <t xml:space="preserve">Share of market
needed</t>
  </si>
  <si>
    <t xml:space="preserve">Replacements
/ month</t>
  </si>
  <si>
    <t xml:space="preserve">Break-even is the customer count that hits the monthly net target. It does NOT move with churn - the replacement rate in the last column does.</t>
  </si>
  <si>
    <t xml:space="preserve">'Share of market needed' is the honest ranking. Idea 1 needs ~18x the penetration idea 8 does.</t>
  </si>
  <si>
    <t xml:space="preserve">Barrier survey shows 'unknown' because its denominator has not been established. That is the risk, not a missing cell.</t>
  </si>
  <si>
    <t xml:space="preserve">7 - Barrier survey - 24-month projection</t>
  </si>
  <si>
    <t xml:space="preserve">Driven entirely by Dials. Churned customers are rounded to whole people, so the curve steps rather than glides.</t>
  </si>
  <si>
    <t xml:space="preserve">New / month</t>
  </si>
  <si>
    <t xml:space="preserve">Month</t>
  </si>
  <si>
    <t xml:space="preserve">Customers
start</t>
  </si>
  <si>
    <t xml:space="preserve">New</t>
  </si>
  <si>
    <t xml:space="preserve">Churned</t>
  </si>
  <si>
    <t xml:space="preserve">Customers
end</t>
  </si>
  <si>
    <t xml:space="preserve">Gross MRR</t>
  </si>
  <si>
    <t xml:space="preserve">Net MRR
after Apple</t>
  </si>
  <si>
    <t xml:space="preserve">Cumulative
net</t>
  </si>
  <si>
    <t xml:space="preserve">Month 24 net MRR</t>
  </si>
  <si>
    <t xml:space="preserve">Break-even reached in month</t>
  </si>
  <si>
    <t xml:space="preserve">Steady-state customers at this sales rate</t>
  </si>
  <si>
    <t xml:space="preserve">Steady state = new per month / churn rate. Beyond it, this sales rate cannot grow the business further.</t>
  </si>
  <si>
    <t xml:space="preserve">8 - Behind the wall - 24-month projection</t>
  </si>
  <si>
    <t xml:space="preserve">1 - Templating - 24-month projection</t>
  </si>
  <si>
    <t xml:space="preserve">6 - Floor prep - 24-month projection</t>
  </si>
  <si>
    <t xml:space="preserve">2 - Fire &amp; life-safety - 24-month projection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</si>
</sst>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;&quot;($&quot;#,##0\);\-"/>
    <numFmt numFmtId="167" formatCode="#,##0;\(#,##0\);\-"/>
    <numFmt numFmtId="168" formatCode="\$#,##0.00;&quot;($&quot;#,##0.00\);\-"/>
    <numFmt numFmtId="169" formatCode="#,##0.0"/>
    <numFmt numFmtId="170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5B64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A32D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91D"/>
        <bgColor rgb="FF000000"/>
      </patternFill>
    </fill>
    <fill>
      <patternFill patternType="solid">
        <fgColor rgb="FFF2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8"/>
      <rgbColor rgb="FFCCFFFF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0"/>
      <rgbColor rgb="FF969696"/>
      <rgbColor rgb="FF003366"/>
      <rgbColor rgb="FF339966"/>
      <rgbColor rgb="FF16191D"/>
      <rgbColor rgb="FF333300"/>
      <rgbColor rgb="FFA32D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3" t="s">
        <v>4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4" t="s">
        <v>5</v>
      </c>
      <c r="B6" s="3"/>
    </row>
    <row r="7" customFormat="false" ht="15" hidden="false" customHeight="false" outlineLevel="0" collapsed="false">
      <c r="A7" s="5" t="s">
        <v>6</v>
      </c>
      <c r="B7" s="3" t="s">
        <v>7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6" t="s">
        <v>10</v>
      </c>
      <c r="B9" s="3" t="s">
        <v>11</v>
      </c>
    </row>
    <row r="10" customFormat="false" ht="15" hidden="false" customHeight="false" outlineLevel="0" collapsed="false">
      <c r="A10" s="7" t="s">
        <v>12</v>
      </c>
      <c r="B10" s="3" t="s">
        <v>13</v>
      </c>
    </row>
    <row r="11" customFormat="false" ht="15" hidden="false" customHeight="false" outlineLevel="0" collapsed="false">
      <c r="A11" s="2"/>
      <c r="B11" s="3"/>
    </row>
    <row r="12" customFormat="false" ht="15" hidden="false" customHeight="false" outlineLevel="0" collapsed="false">
      <c r="A12" s="4" t="s">
        <v>14</v>
      </c>
      <c r="B12" s="3"/>
    </row>
    <row r="13" customFormat="false" ht="15" hidden="false" customHeight="false" outlineLevel="0" collapsed="false">
      <c r="A13" s="2" t="s">
        <v>15</v>
      </c>
      <c r="B13" s="3" t="s">
        <v>16</v>
      </c>
    </row>
    <row r="14" customFormat="false" ht="15" hidden="false" customHeight="false" outlineLevel="0" collapsed="false">
      <c r="A14" s="2" t="s">
        <v>17</v>
      </c>
      <c r="B14" s="3" t="s">
        <v>18</v>
      </c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/>
      <c r="B16" s="3"/>
    </row>
    <row r="17" customFormat="false" ht="15" hidden="false" customHeight="false" outlineLevel="0" collapsed="false">
      <c r="A17" s="4" t="s">
        <v>21</v>
      </c>
      <c r="B17" s="3" t="s">
        <v>22</v>
      </c>
    </row>
    <row r="18" customFormat="false" ht="15" hidden="false" customHeight="false" outlineLevel="0" collapsed="false">
      <c r="A18" s="2"/>
      <c r="B18" s="3" t="s">
        <v>23</v>
      </c>
    </row>
    <row r="19" customFormat="false" ht="15" hidden="false" customHeight="false" outlineLevel="0" collapsed="false">
      <c r="A19" s="2"/>
      <c r="B19" s="3" t="s">
        <v>24</v>
      </c>
    </row>
    <row r="20" customFormat="false" ht="15" hidden="false" customHeight="false" outlineLevel="0" collapsed="false">
      <c r="A20" s="2"/>
      <c r="B20" s="3" t="s">
        <v>25</v>
      </c>
    </row>
    <row r="21" customFormat="false" ht="15" hidden="false" customHeight="false" outlineLevel="0" collapsed="false">
      <c r="A21" s="2"/>
      <c r="B21" s="3"/>
    </row>
    <row r="22" customFormat="false" ht="15" hidden="false" customHeight="false" outlineLevel="0" collapsed="false">
      <c r="A22" s="4" t="s">
        <v>26</v>
      </c>
      <c r="B22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8" t="s">
        <v>29</v>
      </c>
    </row>
    <row r="4" customFormat="false" ht="64.15" hidden="false" customHeight="false" outlineLevel="0" collapsed="false">
      <c r="A4" s="4" t="s">
        <v>30</v>
      </c>
      <c r="B4" s="9" t="n">
        <v>0.15</v>
      </c>
      <c r="C4" s="10" t="s">
        <v>31</v>
      </c>
    </row>
    <row r="5" customFormat="false" ht="43.25" hidden="false" customHeight="false" outlineLevel="0" collapsed="false">
      <c r="A5" s="4" t="s">
        <v>32</v>
      </c>
      <c r="B5" s="11" t="n">
        <v>6000</v>
      </c>
      <c r="C5" s="10" t="s">
        <v>33</v>
      </c>
    </row>
    <row r="6" customFormat="false" ht="32.8" hidden="false" customHeight="false" outlineLevel="0" collapsed="false">
      <c r="A6" s="4" t="s">
        <v>34</v>
      </c>
      <c r="B6" s="12" t="n">
        <v>0</v>
      </c>
      <c r="C6" s="10" t="s">
        <v>35</v>
      </c>
    </row>
    <row r="8" customFormat="false" ht="15" hidden="false" customHeight="false" outlineLevel="0" collapsed="false">
      <c r="A8" s="8" t="s">
        <v>36</v>
      </c>
    </row>
    <row r="9" customFormat="false" ht="15" hidden="false" customHeight="false" outlineLevel="0" collapsed="false">
      <c r="A9" s="13" t="s">
        <v>37</v>
      </c>
      <c r="B9" s="13" t="s">
        <v>38</v>
      </c>
      <c r="C9" s="13" t="s">
        <v>39</v>
      </c>
      <c r="D9" s="13" t="s">
        <v>40</v>
      </c>
      <c r="E9" s="13" t="s">
        <v>41</v>
      </c>
      <c r="F9" s="13" t="s">
        <v>42</v>
      </c>
    </row>
    <row r="10" customFormat="false" ht="30" hidden="false" customHeight="true" outlineLevel="0" collapsed="false">
      <c r="A10" s="4" t="s">
        <v>43</v>
      </c>
      <c r="B10" s="11" t="n">
        <v>79</v>
      </c>
      <c r="C10" s="9" t="n">
        <v>0.04</v>
      </c>
      <c r="D10" s="14"/>
      <c r="E10" s="14" t="n">
        <v>4</v>
      </c>
      <c r="F10" s="10" t="s">
        <v>44</v>
      </c>
    </row>
    <row r="11" customFormat="false" ht="30" hidden="false" customHeight="true" outlineLevel="0" collapsed="false">
      <c r="A11" s="4" t="s">
        <v>45</v>
      </c>
      <c r="B11" s="11" t="n">
        <v>49</v>
      </c>
      <c r="C11" s="9" t="n">
        <v>0.04</v>
      </c>
      <c r="D11" s="14" t="n">
        <v>127394</v>
      </c>
      <c r="E11" s="14" t="n">
        <v>6</v>
      </c>
      <c r="F11" s="10" t="s">
        <v>46</v>
      </c>
    </row>
    <row r="12" customFormat="false" ht="30" hidden="false" customHeight="true" outlineLevel="0" collapsed="false">
      <c r="A12" s="4" t="s">
        <v>47</v>
      </c>
      <c r="B12" s="11" t="n">
        <v>119</v>
      </c>
      <c r="C12" s="9" t="n">
        <v>0.04</v>
      </c>
      <c r="D12" s="14" t="n">
        <v>5951</v>
      </c>
      <c r="E12" s="14" t="n">
        <v>3</v>
      </c>
      <c r="F12" s="10" t="s">
        <v>48</v>
      </c>
    </row>
    <row r="13" customFormat="false" ht="30" hidden="false" customHeight="true" outlineLevel="0" collapsed="false">
      <c r="A13" s="4" t="s">
        <v>49</v>
      </c>
      <c r="B13" s="11" t="n">
        <v>39</v>
      </c>
      <c r="C13" s="9" t="n">
        <v>0.04</v>
      </c>
      <c r="D13" s="14" t="n">
        <v>13108</v>
      </c>
      <c r="E13" s="14" t="n">
        <v>7</v>
      </c>
      <c r="F13" s="10" t="s">
        <v>50</v>
      </c>
    </row>
    <row r="14" customFormat="false" ht="30" hidden="false" customHeight="true" outlineLevel="0" collapsed="false">
      <c r="A14" s="4" t="s">
        <v>51</v>
      </c>
      <c r="B14" s="11" t="n">
        <v>89</v>
      </c>
      <c r="C14" s="9" t="n">
        <v>0.025</v>
      </c>
      <c r="D14" s="14" t="n">
        <v>19845</v>
      </c>
      <c r="E14" s="14" t="n">
        <v>3</v>
      </c>
      <c r="F14" s="10" t="s">
        <v>52</v>
      </c>
    </row>
    <row r="16" customFormat="false" ht="15" hidden="false" customHeight="false" outlineLevel="0" collapsed="false">
      <c r="A16" s="1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3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16" t="s">
        <v>55</v>
      </c>
    </row>
    <row r="4" customFormat="false" ht="23.85" hidden="false" customHeight="false" outlineLevel="0" collapsed="false">
      <c r="A4" s="13" t="s">
        <v>37</v>
      </c>
      <c r="B4" s="13" t="s">
        <v>56</v>
      </c>
      <c r="C4" s="13" t="s">
        <v>57</v>
      </c>
      <c r="D4" s="13" t="s">
        <v>58</v>
      </c>
      <c r="E4" s="13" t="s">
        <v>59</v>
      </c>
      <c r="F4" s="13" t="s">
        <v>60</v>
      </c>
      <c r="G4" s="13" t="s">
        <v>61</v>
      </c>
      <c r="H4" s="13" t="s">
        <v>62</v>
      </c>
      <c r="I4" s="13" t="s">
        <v>63</v>
      </c>
      <c r="J4" s="13" t="s">
        <v>64</v>
      </c>
    </row>
    <row r="5" customFormat="false" ht="15" hidden="false" customHeight="false" outlineLevel="0" collapsed="false">
      <c r="A5" s="17" t="str">
        <f aca="false">Dials!A10</f>
        <v>7 - Barrier survey</v>
      </c>
      <c r="B5" s="18" t="n">
        <f aca="false">Dials!B10</f>
        <v>79</v>
      </c>
      <c r="C5" s="19" t="n">
        <f aca="false">Dials!B10*(1-Dials!$B$4)</f>
        <v>67.15</v>
      </c>
      <c r="D5" s="20" t="n">
        <f aca="false">Dials!C10</f>
        <v>0.04</v>
      </c>
      <c r="E5" s="21" t="n">
        <f aca="false">IF(Dials!C10=0,0,1/Dials!C10)</f>
        <v>25</v>
      </c>
      <c r="F5" s="22" t="n">
        <f aca="false">IF(Dials!C10=0,0,C5/Dials!C10)</f>
        <v>1678.75</v>
      </c>
      <c r="G5" s="23" t="n">
        <f aca="false">IF(C5=0,0,ROUNDUP(Dials!$B$5/C5,0))</f>
        <v>90</v>
      </c>
      <c r="H5" s="24" t="n">
        <f aca="false">Dials!D10</f>
        <v>0</v>
      </c>
      <c r="I5" s="25" t="str">
        <f aca="false">IF(ISNUMBER(Dials!D10),IF(Dials!D10=0,"n/a",G5/Dials!D10),"unknown")</f>
        <v>unknown</v>
      </c>
      <c r="J5" s="23" t="n">
        <f aca="false">ROUNDUP(G5*Dials!C10,0)</f>
        <v>4</v>
      </c>
    </row>
    <row r="6" customFormat="false" ht="15" hidden="false" customHeight="false" outlineLevel="0" collapsed="false">
      <c r="A6" s="26" t="str">
        <f aca="false">Dials!A11</f>
        <v>8 - Behind the wall</v>
      </c>
      <c r="B6" s="27" t="n">
        <f aca="false">Dials!B11</f>
        <v>49</v>
      </c>
      <c r="C6" s="28" t="n">
        <f aca="false">Dials!B11*(1-Dials!$B$4)</f>
        <v>41.65</v>
      </c>
      <c r="D6" s="29" t="n">
        <f aca="false">Dials!C11</f>
        <v>0.04</v>
      </c>
      <c r="E6" s="30" t="n">
        <f aca="false">IF(Dials!C11=0,0,1/Dials!C11)</f>
        <v>25</v>
      </c>
      <c r="F6" s="31" t="n">
        <f aca="false">IF(Dials!C11=0,0,C6/Dials!C11)</f>
        <v>1041.25</v>
      </c>
      <c r="G6" s="32" t="n">
        <f aca="false">IF(C6=0,0,ROUNDUP(Dials!$B$5/C6,0))</f>
        <v>145</v>
      </c>
      <c r="H6" s="33" t="n">
        <f aca="false">Dials!D11</f>
        <v>127394</v>
      </c>
      <c r="I6" s="34" t="n">
        <f aca="false">IF(ISNUMBER(Dials!D11),IF(Dials!D11=0,"n/a",G6/Dials!D11),"unknown")</f>
        <v>0.00113820117116976</v>
      </c>
      <c r="J6" s="32" t="n">
        <f aca="false">ROUNDUP(G6*Dials!C11,0)</f>
        <v>6</v>
      </c>
    </row>
    <row r="7" customFormat="false" ht="15" hidden="false" customHeight="false" outlineLevel="0" collapsed="false">
      <c r="A7" s="17" t="str">
        <f aca="false">Dials!A12</f>
        <v>1 - Templating</v>
      </c>
      <c r="B7" s="18" t="n">
        <f aca="false">Dials!B12</f>
        <v>119</v>
      </c>
      <c r="C7" s="19" t="n">
        <f aca="false">Dials!B12*(1-Dials!$B$4)</f>
        <v>101.15</v>
      </c>
      <c r="D7" s="20" t="n">
        <f aca="false">Dials!C12</f>
        <v>0.04</v>
      </c>
      <c r="E7" s="21" t="n">
        <f aca="false">IF(Dials!C12=0,0,1/Dials!C12)</f>
        <v>25</v>
      </c>
      <c r="F7" s="22" t="n">
        <f aca="false">IF(Dials!C12=0,0,C7/Dials!C12)</f>
        <v>2528.75</v>
      </c>
      <c r="G7" s="23" t="n">
        <f aca="false">IF(C7=0,0,ROUNDUP(Dials!$B$5/C7,0))</f>
        <v>60</v>
      </c>
      <c r="H7" s="24" t="n">
        <f aca="false">Dials!D12</f>
        <v>5951</v>
      </c>
      <c r="I7" s="25" t="n">
        <f aca="false">IF(ISNUMBER(Dials!D12),IF(Dials!D12=0,"n/a",G7/Dials!D12),"unknown")</f>
        <v>0.0100823391026718</v>
      </c>
      <c r="J7" s="23" t="n">
        <f aca="false">ROUNDUP(G7*Dials!C12,0)</f>
        <v>3</v>
      </c>
    </row>
    <row r="8" customFormat="false" ht="15" hidden="false" customHeight="false" outlineLevel="0" collapsed="false">
      <c r="A8" s="26" t="str">
        <f aca="false">Dials!A13</f>
        <v>6 - Floor prep</v>
      </c>
      <c r="B8" s="27" t="n">
        <f aca="false">Dials!B13</f>
        <v>39</v>
      </c>
      <c r="C8" s="28" t="n">
        <f aca="false">Dials!B13*(1-Dials!$B$4)</f>
        <v>33.15</v>
      </c>
      <c r="D8" s="29" t="n">
        <f aca="false">Dials!C13</f>
        <v>0.04</v>
      </c>
      <c r="E8" s="30" t="n">
        <f aca="false">IF(Dials!C13=0,0,1/Dials!C13)</f>
        <v>25</v>
      </c>
      <c r="F8" s="31" t="n">
        <f aca="false">IF(Dials!C13=0,0,C8/Dials!C13)</f>
        <v>828.75</v>
      </c>
      <c r="G8" s="32" t="n">
        <f aca="false">IF(C8=0,0,ROUNDUP(Dials!$B$5/C8,0))</f>
        <v>181</v>
      </c>
      <c r="H8" s="33" t="n">
        <f aca="false">Dials!D13</f>
        <v>13108</v>
      </c>
      <c r="I8" s="34" t="n">
        <f aca="false">IF(ISNUMBER(Dials!D13),IF(Dials!D13=0,"n/a",G8/Dials!D13),"unknown")</f>
        <v>0.0138083613060726</v>
      </c>
      <c r="J8" s="32" t="n">
        <f aca="false">ROUNDUP(G8*Dials!C13,0)</f>
        <v>8</v>
      </c>
    </row>
    <row r="9" customFormat="false" ht="15" hidden="false" customHeight="false" outlineLevel="0" collapsed="false">
      <c r="A9" s="17" t="str">
        <f aca="false">Dials!A14</f>
        <v>2 - Fire &amp; life-safety</v>
      </c>
      <c r="B9" s="18" t="n">
        <f aca="false">Dials!B14</f>
        <v>89</v>
      </c>
      <c r="C9" s="19" t="n">
        <f aca="false">Dials!B14*(1-Dials!$B$4)</f>
        <v>75.65</v>
      </c>
      <c r="D9" s="20" t="n">
        <f aca="false">Dials!C14</f>
        <v>0.025</v>
      </c>
      <c r="E9" s="21" t="n">
        <f aca="false">IF(Dials!C14=0,0,1/Dials!C14)</f>
        <v>40</v>
      </c>
      <c r="F9" s="22" t="n">
        <f aca="false">IF(Dials!C14=0,0,C9/Dials!C14)</f>
        <v>3026</v>
      </c>
      <c r="G9" s="23" t="n">
        <f aca="false">IF(C9=0,0,ROUNDUP(Dials!$B$5/C9,0))</f>
        <v>80</v>
      </c>
      <c r="H9" s="24" t="n">
        <f aca="false">Dials!D14</f>
        <v>19845</v>
      </c>
      <c r="I9" s="25" t="n">
        <f aca="false">IF(ISNUMBER(Dials!D14),IF(Dials!D14=0,"n/a",G9/Dials!D14),"unknown")</f>
        <v>0.00403124212648022</v>
      </c>
      <c r="J9" s="23" t="n">
        <f aca="false">ROUNDUP(G9*Dials!C14,0)</f>
        <v>2</v>
      </c>
    </row>
    <row r="11" customFormat="false" ht="15" hidden="false" customHeight="false" outlineLevel="0" collapsed="false">
      <c r="A11" s="16" t="s">
        <v>65</v>
      </c>
    </row>
    <row r="12" customFormat="false" ht="15" hidden="false" customHeight="false" outlineLevel="0" collapsed="false">
      <c r="A12" s="16" t="s">
        <v>66</v>
      </c>
    </row>
    <row r="13" customFormat="false" ht="15" hidden="false" customHeight="false" outlineLevel="0" collapsed="false">
      <c r="A13" s="3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16" t="s">
        <v>69</v>
      </c>
    </row>
    <row r="4" customFormat="false" ht="15" hidden="false" customHeight="false" outlineLevel="0" collapsed="false">
      <c r="A4" s="4" t="s">
        <v>56</v>
      </c>
      <c r="B4" s="18" t="n">
        <f aca="false">Dials!B10</f>
        <v>79</v>
      </c>
    </row>
    <row r="5" customFormat="false" ht="15" hidden="false" customHeight="false" outlineLevel="0" collapsed="false">
      <c r="A5" s="4" t="s">
        <v>39</v>
      </c>
      <c r="B5" s="20" t="n">
        <f aca="false">Dials!C10</f>
        <v>0.04</v>
      </c>
    </row>
    <row r="6" customFormat="false" ht="15" hidden="false" customHeight="false" outlineLevel="0" collapsed="false">
      <c r="A6" s="4" t="s">
        <v>70</v>
      </c>
      <c r="B6" s="24" t="n">
        <f aca="false">Dials!E10</f>
        <v>4</v>
      </c>
    </row>
    <row r="7" customFormat="false" ht="15" hidden="false" customHeight="false" outlineLevel="0" collapsed="false">
      <c r="A7" s="4" t="s">
        <v>30</v>
      </c>
      <c r="B7" s="20" t="n">
        <f aca="false">Dials!$B$4</f>
        <v>0.15</v>
      </c>
    </row>
    <row r="9" customFormat="false" ht="23.85" hidden="false" customHeight="false" outlineLevel="0" collapsed="false">
      <c r="A9" s="13" t="s">
        <v>71</v>
      </c>
      <c r="B9" s="13" t="s">
        <v>72</v>
      </c>
      <c r="C9" s="13" t="s">
        <v>73</v>
      </c>
      <c r="D9" s="13" t="s">
        <v>74</v>
      </c>
      <c r="E9" s="13" t="s">
        <v>75</v>
      </c>
      <c r="F9" s="13" t="s">
        <v>76</v>
      </c>
      <c r="G9" s="13" t="s">
        <v>77</v>
      </c>
      <c r="H9" s="13" t="s">
        <v>78</v>
      </c>
    </row>
    <row r="10" customFormat="false" ht="15" hidden="false" customHeight="false" outlineLevel="0" collapsed="false">
      <c r="A10" s="36" t="n">
        <v>1</v>
      </c>
      <c r="B10" s="24" t="n">
        <f aca="false">Dials!$B$6</f>
        <v>0</v>
      </c>
      <c r="C10" s="23" t="n">
        <f aca="false">$B$6</f>
        <v>4</v>
      </c>
      <c r="D10" s="23" t="n">
        <f aca="false">ROUND(B10*$B$5,0)</f>
        <v>0</v>
      </c>
      <c r="E10" s="23" t="n">
        <f aca="false">B10+C10-D10</f>
        <v>4</v>
      </c>
      <c r="F10" s="22" t="n">
        <f aca="false">E10*$B$4</f>
        <v>316</v>
      </c>
      <c r="G10" s="22" t="n">
        <f aca="false">F10*(1-$B$7)</f>
        <v>268.6</v>
      </c>
      <c r="H10" s="22" t="n">
        <f aca="false">G10</f>
        <v>268.6</v>
      </c>
    </row>
    <row r="11" customFormat="false" ht="15" hidden="false" customHeight="false" outlineLevel="0" collapsed="false">
      <c r="A11" s="37" t="n">
        <v>2</v>
      </c>
      <c r="B11" s="32" t="n">
        <f aca="false">E10</f>
        <v>4</v>
      </c>
      <c r="C11" s="32" t="n">
        <f aca="false">$B$6</f>
        <v>4</v>
      </c>
      <c r="D11" s="32" t="n">
        <f aca="false">ROUND(B11*$B$5,0)</f>
        <v>0</v>
      </c>
      <c r="E11" s="32" t="n">
        <f aca="false">B11+C11-D11</f>
        <v>8</v>
      </c>
      <c r="F11" s="31" t="n">
        <f aca="false">E11*$B$4</f>
        <v>632</v>
      </c>
      <c r="G11" s="31" t="n">
        <f aca="false">F11*(1-$B$7)</f>
        <v>537.2</v>
      </c>
      <c r="H11" s="31" t="n">
        <f aca="false">H10+G11</f>
        <v>805.8</v>
      </c>
    </row>
    <row r="12" customFormat="false" ht="15" hidden="false" customHeight="false" outlineLevel="0" collapsed="false">
      <c r="A12" s="36" t="n">
        <v>3</v>
      </c>
      <c r="B12" s="23" t="n">
        <f aca="false">E11</f>
        <v>8</v>
      </c>
      <c r="C12" s="23" t="n">
        <f aca="false">$B$6</f>
        <v>4</v>
      </c>
      <c r="D12" s="23" t="n">
        <f aca="false">ROUND(B12*$B$5,0)</f>
        <v>0</v>
      </c>
      <c r="E12" s="23" t="n">
        <f aca="false">B12+C12-D12</f>
        <v>12</v>
      </c>
      <c r="F12" s="22" t="n">
        <f aca="false">E12*$B$4</f>
        <v>948</v>
      </c>
      <c r="G12" s="22" t="n">
        <f aca="false">F12*(1-$B$7)</f>
        <v>805.8</v>
      </c>
      <c r="H12" s="22" t="n">
        <f aca="false">H11+G12</f>
        <v>1611.6</v>
      </c>
    </row>
    <row r="13" customFormat="false" ht="15" hidden="false" customHeight="false" outlineLevel="0" collapsed="false">
      <c r="A13" s="37" t="n">
        <v>4</v>
      </c>
      <c r="B13" s="32" t="n">
        <f aca="false">E12</f>
        <v>12</v>
      </c>
      <c r="C13" s="32" t="n">
        <f aca="false">$B$6</f>
        <v>4</v>
      </c>
      <c r="D13" s="32" t="n">
        <f aca="false">ROUND(B13*$B$5,0)</f>
        <v>0</v>
      </c>
      <c r="E13" s="32" t="n">
        <f aca="false">B13+C13-D13</f>
        <v>16</v>
      </c>
      <c r="F13" s="31" t="n">
        <f aca="false">E13*$B$4</f>
        <v>1264</v>
      </c>
      <c r="G13" s="31" t="n">
        <f aca="false">F13*(1-$B$7)</f>
        <v>1074.4</v>
      </c>
      <c r="H13" s="31" t="n">
        <f aca="false">H12+G13</f>
        <v>2686</v>
      </c>
    </row>
    <row r="14" customFormat="false" ht="15" hidden="false" customHeight="false" outlineLevel="0" collapsed="false">
      <c r="A14" s="36" t="n">
        <v>5</v>
      </c>
      <c r="B14" s="23" t="n">
        <f aca="false">E13</f>
        <v>16</v>
      </c>
      <c r="C14" s="23" t="n">
        <f aca="false">$B$6</f>
        <v>4</v>
      </c>
      <c r="D14" s="23" t="n">
        <f aca="false">ROUND(B14*$B$5,0)</f>
        <v>1</v>
      </c>
      <c r="E14" s="23" t="n">
        <f aca="false">B14+C14-D14</f>
        <v>19</v>
      </c>
      <c r="F14" s="22" t="n">
        <f aca="false">E14*$B$4</f>
        <v>1501</v>
      </c>
      <c r="G14" s="22" t="n">
        <f aca="false">F14*(1-$B$7)</f>
        <v>1275.85</v>
      </c>
      <c r="H14" s="22" t="n">
        <f aca="false">H13+G14</f>
        <v>3961.85</v>
      </c>
    </row>
    <row r="15" customFormat="false" ht="15" hidden="false" customHeight="false" outlineLevel="0" collapsed="false">
      <c r="A15" s="37" t="n">
        <v>6</v>
      </c>
      <c r="B15" s="32" t="n">
        <f aca="false">E14</f>
        <v>19</v>
      </c>
      <c r="C15" s="32" t="n">
        <f aca="false">$B$6</f>
        <v>4</v>
      </c>
      <c r="D15" s="32" t="n">
        <f aca="false">ROUND(B15*$B$5,0)</f>
        <v>1</v>
      </c>
      <c r="E15" s="32" t="n">
        <f aca="false">B15+C15-D15</f>
        <v>22</v>
      </c>
      <c r="F15" s="31" t="n">
        <f aca="false">E15*$B$4</f>
        <v>1738</v>
      </c>
      <c r="G15" s="31" t="n">
        <f aca="false">F15*(1-$B$7)</f>
        <v>1477.3</v>
      </c>
      <c r="H15" s="31" t="n">
        <f aca="false">H14+G15</f>
        <v>5439.15</v>
      </c>
    </row>
    <row r="16" customFormat="false" ht="15" hidden="false" customHeight="false" outlineLevel="0" collapsed="false">
      <c r="A16" s="36" t="n">
        <v>7</v>
      </c>
      <c r="B16" s="23" t="n">
        <f aca="false">E15</f>
        <v>22</v>
      </c>
      <c r="C16" s="23" t="n">
        <f aca="false">$B$6</f>
        <v>4</v>
      </c>
      <c r="D16" s="23" t="n">
        <f aca="false">ROUND(B16*$B$5,0)</f>
        <v>1</v>
      </c>
      <c r="E16" s="23" t="n">
        <f aca="false">B16+C16-D16</f>
        <v>25</v>
      </c>
      <c r="F16" s="22" t="n">
        <f aca="false">E16*$B$4</f>
        <v>1975</v>
      </c>
      <c r="G16" s="22" t="n">
        <f aca="false">F16*(1-$B$7)</f>
        <v>1678.75</v>
      </c>
      <c r="H16" s="22" t="n">
        <f aca="false">H15+G16</f>
        <v>7117.9</v>
      </c>
    </row>
    <row r="17" customFormat="false" ht="15" hidden="false" customHeight="false" outlineLevel="0" collapsed="false">
      <c r="A17" s="37" t="n">
        <v>8</v>
      </c>
      <c r="B17" s="32" t="n">
        <f aca="false">E16</f>
        <v>25</v>
      </c>
      <c r="C17" s="32" t="n">
        <f aca="false">$B$6</f>
        <v>4</v>
      </c>
      <c r="D17" s="32" t="n">
        <f aca="false">ROUND(B17*$B$5,0)</f>
        <v>1</v>
      </c>
      <c r="E17" s="32" t="n">
        <f aca="false">B17+C17-D17</f>
        <v>28</v>
      </c>
      <c r="F17" s="31" t="n">
        <f aca="false">E17*$B$4</f>
        <v>2212</v>
      </c>
      <c r="G17" s="31" t="n">
        <f aca="false">F17*(1-$B$7)</f>
        <v>1880.2</v>
      </c>
      <c r="H17" s="31" t="n">
        <f aca="false">H16+G17</f>
        <v>8998.1</v>
      </c>
    </row>
    <row r="18" customFormat="false" ht="15" hidden="false" customHeight="false" outlineLevel="0" collapsed="false">
      <c r="A18" s="36" t="n">
        <v>9</v>
      </c>
      <c r="B18" s="23" t="n">
        <f aca="false">E17</f>
        <v>28</v>
      </c>
      <c r="C18" s="23" t="n">
        <f aca="false">$B$6</f>
        <v>4</v>
      </c>
      <c r="D18" s="23" t="n">
        <f aca="false">ROUND(B18*$B$5,0)</f>
        <v>1</v>
      </c>
      <c r="E18" s="23" t="n">
        <f aca="false">B18+C18-D18</f>
        <v>31</v>
      </c>
      <c r="F18" s="22" t="n">
        <f aca="false">E18*$B$4</f>
        <v>2449</v>
      </c>
      <c r="G18" s="22" t="n">
        <f aca="false">F18*(1-$B$7)</f>
        <v>2081.65</v>
      </c>
      <c r="H18" s="22" t="n">
        <f aca="false">H17+G18</f>
        <v>11079.75</v>
      </c>
    </row>
    <row r="19" customFormat="false" ht="15" hidden="false" customHeight="false" outlineLevel="0" collapsed="false">
      <c r="A19" s="37" t="n">
        <v>10</v>
      </c>
      <c r="B19" s="32" t="n">
        <f aca="false">E18</f>
        <v>31</v>
      </c>
      <c r="C19" s="32" t="n">
        <f aca="false">$B$6</f>
        <v>4</v>
      </c>
      <c r="D19" s="32" t="n">
        <f aca="false">ROUND(B19*$B$5,0)</f>
        <v>1</v>
      </c>
      <c r="E19" s="32" t="n">
        <f aca="false">B19+C19-D19</f>
        <v>34</v>
      </c>
      <c r="F19" s="31" t="n">
        <f aca="false">E19*$B$4</f>
        <v>2686</v>
      </c>
      <c r="G19" s="31" t="n">
        <f aca="false">F19*(1-$B$7)</f>
        <v>2283.1</v>
      </c>
      <c r="H19" s="31" t="n">
        <f aca="false">H18+G19</f>
        <v>13362.85</v>
      </c>
    </row>
    <row r="20" customFormat="false" ht="15" hidden="false" customHeight="false" outlineLevel="0" collapsed="false">
      <c r="A20" s="36" t="n">
        <v>11</v>
      </c>
      <c r="B20" s="23" t="n">
        <f aca="false">E19</f>
        <v>34</v>
      </c>
      <c r="C20" s="23" t="n">
        <f aca="false">$B$6</f>
        <v>4</v>
      </c>
      <c r="D20" s="23" t="n">
        <f aca="false">ROUND(B20*$B$5,0)</f>
        <v>1</v>
      </c>
      <c r="E20" s="23" t="n">
        <f aca="false">B20+C20-D20</f>
        <v>37</v>
      </c>
      <c r="F20" s="22" t="n">
        <f aca="false">E20*$B$4</f>
        <v>2923</v>
      </c>
      <c r="G20" s="22" t="n">
        <f aca="false">F20*(1-$B$7)</f>
        <v>2484.55</v>
      </c>
      <c r="H20" s="22" t="n">
        <f aca="false">H19+G20</f>
        <v>15847.4</v>
      </c>
    </row>
    <row r="21" customFormat="false" ht="15" hidden="false" customHeight="false" outlineLevel="0" collapsed="false">
      <c r="A21" s="37" t="n">
        <v>12</v>
      </c>
      <c r="B21" s="32" t="n">
        <f aca="false">E20</f>
        <v>37</v>
      </c>
      <c r="C21" s="32" t="n">
        <f aca="false">$B$6</f>
        <v>4</v>
      </c>
      <c r="D21" s="32" t="n">
        <f aca="false">ROUND(B21*$B$5,0)</f>
        <v>1</v>
      </c>
      <c r="E21" s="32" t="n">
        <f aca="false">B21+C21-D21</f>
        <v>40</v>
      </c>
      <c r="F21" s="31" t="n">
        <f aca="false">E21*$B$4</f>
        <v>3160</v>
      </c>
      <c r="G21" s="31" t="n">
        <f aca="false">F21*(1-$B$7)</f>
        <v>2686</v>
      </c>
      <c r="H21" s="31" t="n">
        <f aca="false">H20+G21</f>
        <v>18533.4</v>
      </c>
    </row>
    <row r="22" customFormat="false" ht="15" hidden="false" customHeight="false" outlineLevel="0" collapsed="false">
      <c r="A22" s="36" t="n">
        <v>13</v>
      </c>
      <c r="B22" s="23" t="n">
        <f aca="false">E21</f>
        <v>40</v>
      </c>
      <c r="C22" s="23" t="n">
        <f aca="false">$B$6</f>
        <v>4</v>
      </c>
      <c r="D22" s="23" t="n">
        <f aca="false">ROUND(B22*$B$5,0)</f>
        <v>2</v>
      </c>
      <c r="E22" s="23" t="n">
        <f aca="false">B22+C22-D22</f>
        <v>42</v>
      </c>
      <c r="F22" s="22" t="n">
        <f aca="false">E22*$B$4</f>
        <v>3318</v>
      </c>
      <c r="G22" s="22" t="n">
        <f aca="false">F22*(1-$B$7)</f>
        <v>2820.3</v>
      </c>
      <c r="H22" s="22" t="n">
        <f aca="false">H21+G22</f>
        <v>21353.7</v>
      </c>
    </row>
    <row r="23" customFormat="false" ht="15" hidden="false" customHeight="false" outlineLevel="0" collapsed="false">
      <c r="A23" s="37" t="n">
        <v>14</v>
      </c>
      <c r="B23" s="32" t="n">
        <f aca="false">E22</f>
        <v>42</v>
      </c>
      <c r="C23" s="32" t="n">
        <f aca="false">$B$6</f>
        <v>4</v>
      </c>
      <c r="D23" s="32" t="n">
        <f aca="false">ROUND(B23*$B$5,0)</f>
        <v>2</v>
      </c>
      <c r="E23" s="32" t="n">
        <f aca="false">B23+C23-D23</f>
        <v>44</v>
      </c>
      <c r="F23" s="31" t="n">
        <f aca="false">E23*$B$4</f>
        <v>3476</v>
      </c>
      <c r="G23" s="31" t="n">
        <f aca="false">F23*(1-$B$7)</f>
        <v>2954.6</v>
      </c>
      <c r="H23" s="31" t="n">
        <f aca="false">H22+G23</f>
        <v>24308.3</v>
      </c>
    </row>
    <row r="24" customFormat="false" ht="15" hidden="false" customHeight="false" outlineLevel="0" collapsed="false">
      <c r="A24" s="36" t="n">
        <v>15</v>
      </c>
      <c r="B24" s="23" t="n">
        <f aca="false">E23</f>
        <v>44</v>
      </c>
      <c r="C24" s="23" t="n">
        <f aca="false">$B$6</f>
        <v>4</v>
      </c>
      <c r="D24" s="23" t="n">
        <f aca="false">ROUND(B24*$B$5,0)</f>
        <v>2</v>
      </c>
      <c r="E24" s="23" t="n">
        <f aca="false">B24+C24-D24</f>
        <v>46</v>
      </c>
      <c r="F24" s="22" t="n">
        <f aca="false">E24*$B$4</f>
        <v>3634</v>
      </c>
      <c r="G24" s="22" t="n">
        <f aca="false">F24*(1-$B$7)</f>
        <v>3088.9</v>
      </c>
      <c r="H24" s="22" t="n">
        <f aca="false">H23+G24</f>
        <v>27397.2</v>
      </c>
    </row>
    <row r="25" customFormat="false" ht="15" hidden="false" customHeight="false" outlineLevel="0" collapsed="false">
      <c r="A25" s="37" t="n">
        <v>16</v>
      </c>
      <c r="B25" s="32" t="n">
        <f aca="false">E24</f>
        <v>46</v>
      </c>
      <c r="C25" s="32" t="n">
        <f aca="false">$B$6</f>
        <v>4</v>
      </c>
      <c r="D25" s="32" t="n">
        <f aca="false">ROUND(B25*$B$5,0)</f>
        <v>2</v>
      </c>
      <c r="E25" s="32" t="n">
        <f aca="false">B25+C25-D25</f>
        <v>48</v>
      </c>
      <c r="F25" s="31" t="n">
        <f aca="false">E25*$B$4</f>
        <v>3792</v>
      </c>
      <c r="G25" s="31" t="n">
        <f aca="false">F25*(1-$B$7)</f>
        <v>3223.2</v>
      </c>
      <c r="H25" s="31" t="n">
        <f aca="false">H24+G25</f>
        <v>30620.4</v>
      </c>
    </row>
    <row r="26" customFormat="false" ht="15" hidden="false" customHeight="false" outlineLevel="0" collapsed="false">
      <c r="A26" s="36" t="n">
        <v>17</v>
      </c>
      <c r="B26" s="23" t="n">
        <f aca="false">E25</f>
        <v>48</v>
      </c>
      <c r="C26" s="23" t="n">
        <f aca="false">$B$6</f>
        <v>4</v>
      </c>
      <c r="D26" s="23" t="n">
        <f aca="false">ROUND(B26*$B$5,0)</f>
        <v>2</v>
      </c>
      <c r="E26" s="23" t="n">
        <f aca="false">B26+C26-D26</f>
        <v>50</v>
      </c>
      <c r="F26" s="22" t="n">
        <f aca="false">E26*$B$4</f>
        <v>3950</v>
      </c>
      <c r="G26" s="22" t="n">
        <f aca="false">F26*(1-$B$7)</f>
        <v>3357.5</v>
      </c>
      <c r="H26" s="22" t="n">
        <f aca="false">H25+G26</f>
        <v>33977.9</v>
      </c>
    </row>
    <row r="27" customFormat="false" ht="15" hidden="false" customHeight="false" outlineLevel="0" collapsed="false">
      <c r="A27" s="37" t="n">
        <v>18</v>
      </c>
      <c r="B27" s="32" t="n">
        <f aca="false">E26</f>
        <v>50</v>
      </c>
      <c r="C27" s="32" t="n">
        <f aca="false">$B$6</f>
        <v>4</v>
      </c>
      <c r="D27" s="32" t="n">
        <f aca="false">ROUND(B27*$B$5,0)</f>
        <v>2</v>
      </c>
      <c r="E27" s="32" t="n">
        <f aca="false">B27+C27-D27</f>
        <v>52</v>
      </c>
      <c r="F27" s="31" t="n">
        <f aca="false">E27*$B$4</f>
        <v>4108</v>
      </c>
      <c r="G27" s="31" t="n">
        <f aca="false">F27*(1-$B$7)</f>
        <v>3491.8</v>
      </c>
      <c r="H27" s="31" t="n">
        <f aca="false">H26+G27</f>
        <v>37469.7</v>
      </c>
    </row>
    <row r="28" customFormat="false" ht="15" hidden="false" customHeight="false" outlineLevel="0" collapsed="false">
      <c r="A28" s="36" t="n">
        <v>19</v>
      </c>
      <c r="B28" s="23" t="n">
        <f aca="false">E27</f>
        <v>52</v>
      </c>
      <c r="C28" s="23" t="n">
        <f aca="false">$B$6</f>
        <v>4</v>
      </c>
      <c r="D28" s="23" t="n">
        <f aca="false">ROUND(B28*$B$5,0)</f>
        <v>2</v>
      </c>
      <c r="E28" s="23" t="n">
        <f aca="false">B28+C28-D28</f>
        <v>54</v>
      </c>
      <c r="F28" s="22" t="n">
        <f aca="false">E28*$B$4</f>
        <v>4266</v>
      </c>
      <c r="G28" s="22" t="n">
        <f aca="false">F28*(1-$B$7)</f>
        <v>3626.1</v>
      </c>
      <c r="H28" s="22" t="n">
        <f aca="false">H27+G28</f>
        <v>41095.8</v>
      </c>
    </row>
    <row r="29" customFormat="false" ht="15" hidden="false" customHeight="false" outlineLevel="0" collapsed="false">
      <c r="A29" s="37" t="n">
        <v>20</v>
      </c>
      <c r="B29" s="32" t="n">
        <f aca="false">E28</f>
        <v>54</v>
      </c>
      <c r="C29" s="32" t="n">
        <f aca="false">$B$6</f>
        <v>4</v>
      </c>
      <c r="D29" s="32" t="n">
        <f aca="false">ROUND(B29*$B$5,0)</f>
        <v>2</v>
      </c>
      <c r="E29" s="32" t="n">
        <f aca="false">B29+C29-D29</f>
        <v>56</v>
      </c>
      <c r="F29" s="31" t="n">
        <f aca="false">E29*$B$4</f>
        <v>4424</v>
      </c>
      <c r="G29" s="31" t="n">
        <f aca="false">F29*(1-$B$7)</f>
        <v>3760.4</v>
      </c>
      <c r="H29" s="31" t="n">
        <f aca="false">H28+G29</f>
        <v>44856.2</v>
      </c>
    </row>
    <row r="30" customFormat="false" ht="15" hidden="false" customHeight="false" outlineLevel="0" collapsed="false">
      <c r="A30" s="36" t="n">
        <v>21</v>
      </c>
      <c r="B30" s="23" t="n">
        <f aca="false">E29</f>
        <v>56</v>
      </c>
      <c r="C30" s="23" t="n">
        <f aca="false">$B$6</f>
        <v>4</v>
      </c>
      <c r="D30" s="23" t="n">
        <f aca="false">ROUND(B30*$B$5,0)</f>
        <v>2</v>
      </c>
      <c r="E30" s="23" t="n">
        <f aca="false">B30+C30-D30</f>
        <v>58</v>
      </c>
      <c r="F30" s="22" t="n">
        <f aca="false">E30*$B$4</f>
        <v>4582</v>
      </c>
      <c r="G30" s="22" t="n">
        <f aca="false">F30*(1-$B$7)</f>
        <v>3894.7</v>
      </c>
      <c r="H30" s="22" t="n">
        <f aca="false">H29+G30</f>
        <v>48750.9</v>
      </c>
    </row>
    <row r="31" customFormat="false" ht="15" hidden="false" customHeight="false" outlineLevel="0" collapsed="false">
      <c r="A31" s="37" t="n">
        <v>22</v>
      </c>
      <c r="B31" s="32" t="n">
        <f aca="false">E30</f>
        <v>58</v>
      </c>
      <c r="C31" s="32" t="n">
        <f aca="false">$B$6</f>
        <v>4</v>
      </c>
      <c r="D31" s="32" t="n">
        <f aca="false">ROUND(B31*$B$5,0)</f>
        <v>2</v>
      </c>
      <c r="E31" s="32" t="n">
        <f aca="false">B31+C31-D31</f>
        <v>60</v>
      </c>
      <c r="F31" s="31" t="n">
        <f aca="false">E31*$B$4</f>
        <v>4740</v>
      </c>
      <c r="G31" s="31" t="n">
        <f aca="false">F31*(1-$B$7)</f>
        <v>4029</v>
      </c>
      <c r="H31" s="31" t="n">
        <f aca="false">H30+G31</f>
        <v>52779.9</v>
      </c>
    </row>
    <row r="32" customFormat="false" ht="15" hidden="false" customHeight="false" outlineLevel="0" collapsed="false">
      <c r="A32" s="36" t="n">
        <v>23</v>
      </c>
      <c r="B32" s="23" t="n">
        <f aca="false">E31</f>
        <v>60</v>
      </c>
      <c r="C32" s="23" t="n">
        <f aca="false">$B$6</f>
        <v>4</v>
      </c>
      <c r="D32" s="23" t="n">
        <f aca="false">ROUND(B32*$B$5,0)</f>
        <v>2</v>
      </c>
      <c r="E32" s="23" t="n">
        <f aca="false">B32+C32-D32</f>
        <v>62</v>
      </c>
      <c r="F32" s="22" t="n">
        <f aca="false">E32*$B$4</f>
        <v>4898</v>
      </c>
      <c r="G32" s="22" t="n">
        <f aca="false">F32*(1-$B$7)</f>
        <v>4163.3</v>
      </c>
      <c r="H32" s="22" t="n">
        <f aca="false">H31+G32</f>
        <v>56943.2</v>
      </c>
    </row>
    <row r="33" customFormat="false" ht="15" hidden="false" customHeight="false" outlineLevel="0" collapsed="false">
      <c r="A33" s="37" t="n">
        <v>24</v>
      </c>
      <c r="B33" s="32" t="n">
        <f aca="false">E32</f>
        <v>62</v>
      </c>
      <c r="C33" s="32" t="n">
        <f aca="false">$B$6</f>
        <v>4</v>
      </c>
      <c r="D33" s="32" t="n">
        <f aca="false">ROUND(B33*$B$5,0)</f>
        <v>2</v>
      </c>
      <c r="E33" s="32" t="n">
        <f aca="false">B33+C33-D33</f>
        <v>64</v>
      </c>
      <c r="F33" s="31" t="n">
        <f aca="false">E33*$B$4</f>
        <v>5056</v>
      </c>
      <c r="G33" s="31" t="n">
        <f aca="false">F33*(1-$B$7)</f>
        <v>4297.6</v>
      </c>
      <c r="H33" s="31" t="n">
        <f aca="false">H32+G33</f>
        <v>61240.8</v>
      </c>
    </row>
    <row r="35" customFormat="false" ht="15" hidden="false" customHeight="false" outlineLevel="0" collapsed="false">
      <c r="A35" s="4" t="s">
        <v>79</v>
      </c>
      <c r="B35" s="22" t="n">
        <f aca="false">G33</f>
        <v>4297.6</v>
      </c>
    </row>
    <row r="36" customFormat="false" ht="15" hidden="false" customHeight="false" outlineLevel="0" collapsed="false">
      <c r="A36" s="4" t="s">
        <v>80</v>
      </c>
      <c r="B36" s="36" t="str">
        <f aca="false">IFERROR(MATCH(TRUE(),INDEX(G10:G33&gt;=Dials!$B$5,0),0),"not within 24 months")</f>
        <v>not within 24 months</v>
      </c>
    </row>
    <row r="37" customFormat="false" ht="15" hidden="false" customHeight="false" outlineLevel="0" collapsed="false">
      <c r="A37" s="4" t="s">
        <v>81</v>
      </c>
      <c r="B37" s="23" t="n">
        <f aca="false">IF($B$5=0,0,$B$6/$B$5)</f>
        <v>100</v>
      </c>
    </row>
    <row r="38" customFormat="false" ht="15" hidden="false" customHeight="false" outlineLevel="0" collapsed="false">
      <c r="A38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6" t="s">
        <v>69</v>
      </c>
    </row>
    <row r="4" customFormat="false" ht="15" hidden="false" customHeight="false" outlineLevel="0" collapsed="false">
      <c r="A4" s="4" t="s">
        <v>56</v>
      </c>
      <c r="B4" s="18" t="n">
        <f aca="false">Dials!B11</f>
        <v>49</v>
      </c>
    </row>
    <row r="5" customFormat="false" ht="15" hidden="false" customHeight="false" outlineLevel="0" collapsed="false">
      <c r="A5" s="4" t="s">
        <v>39</v>
      </c>
      <c r="B5" s="20" t="n">
        <f aca="false">Dials!C11</f>
        <v>0.04</v>
      </c>
    </row>
    <row r="6" customFormat="false" ht="15" hidden="false" customHeight="false" outlineLevel="0" collapsed="false">
      <c r="A6" s="4" t="s">
        <v>70</v>
      </c>
      <c r="B6" s="24" t="n">
        <f aca="false">Dials!E11</f>
        <v>6</v>
      </c>
    </row>
    <row r="7" customFormat="false" ht="15" hidden="false" customHeight="false" outlineLevel="0" collapsed="false">
      <c r="A7" s="4" t="s">
        <v>30</v>
      </c>
      <c r="B7" s="20" t="n">
        <f aca="false">Dials!$B$4</f>
        <v>0.15</v>
      </c>
    </row>
    <row r="9" customFormat="false" ht="23.85" hidden="false" customHeight="false" outlineLevel="0" collapsed="false">
      <c r="A9" s="13" t="s">
        <v>71</v>
      </c>
      <c r="B9" s="13" t="s">
        <v>72</v>
      </c>
      <c r="C9" s="13" t="s">
        <v>73</v>
      </c>
      <c r="D9" s="13" t="s">
        <v>74</v>
      </c>
      <c r="E9" s="13" t="s">
        <v>75</v>
      </c>
      <c r="F9" s="13" t="s">
        <v>76</v>
      </c>
      <c r="G9" s="13" t="s">
        <v>77</v>
      </c>
      <c r="H9" s="13" t="s">
        <v>78</v>
      </c>
    </row>
    <row r="10" customFormat="false" ht="15" hidden="false" customHeight="false" outlineLevel="0" collapsed="false">
      <c r="A10" s="36" t="n">
        <v>1</v>
      </c>
      <c r="B10" s="24" t="n">
        <f aca="false">Dials!$B$6</f>
        <v>0</v>
      </c>
      <c r="C10" s="23" t="n">
        <f aca="false">$B$6</f>
        <v>6</v>
      </c>
      <c r="D10" s="23" t="n">
        <f aca="false">ROUND(B10*$B$5,0)</f>
        <v>0</v>
      </c>
      <c r="E10" s="23" t="n">
        <f aca="false">B10+C10-D10</f>
        <v>6</v>
      </c>
      <c r="F10" s="22" t="n">
        <f aca="false">E10*$B$4</f>
        <v>294</v>
      </c>
      <c r="G10" s="22" t="n">
        <f aca="false">F10*(1-$B$7)</f>
        <v>249.9</v>
      </c>
      <c r="H10" s="22" t="n">
        <f aca="false">G10</f>
        <v>249.9</v>
      </c>
    </row>
    <row r="11" customFormat="false" ht="15" hidden="false" customHeight="false" outlineLevel="0" collapsed="false">
      <c r="A11" s="37" t="n">
        <v>2</v>
      </c>
      <c r="B11" s="32" t="n">
        <f aca="false">E10</f>
        <v>6</v>
      </c>
      <c r="C11" s="32" t="n">
        <f aca="false">$B$6</f>
        <v>6</v>
      </c>
      <c r="D11" s="32" t="n">
        <f aca="false">ROUND(B11*$B$5,0)</f>
        <v>0</v>
      </c>
      <c r="E11" s="32" t="n">
        <f aca="false">B11+C11-D11</f>
        <v>12</v>
      </c>
      <c r="F11" s="31" t="n">
        <f aca="false">E11*$B$4</f>
        <v>588</v>
      </c>
      <c r="G11" s="31" t="n">
        <f aca="false">F11*(1-$B$7)</f>
        <v>499.8</v>
      </c>
      <c r="H11" s="31" t="n">
        <f aca="false">H10+G11</f>
        <v>749.7</v>
      </c>
    </row>
    <row r="12" customFormat="false" ht="15" hidden="false" customHeight="false" outlineLevel="0" collapsed="false">
      <c r="A12" s="36" t="n">
        <v>3</v>
      </c>
      <c r="B12" s="23" t="n">
        <f aca="false">E11</f>
        <v>12</v>
      </c>
      <c r="C12" s="23" t="n">
        <f aca="false">$B$6</f>
        <v>6</v>
      </c>
      <c r="D12" s="23" t="n">
        <f aca="false">ROUND(B12*$B$5,0)</f>
        <v>0</v>
      </c>
      <c r="E12" s="23" t="n">
        <f aca="false">B12+C12-D12</f>
        <v>18</v>
      </c>
      <c r="F12" s="22" t="n">
        <f aca="false">E12*$B$4</f>
        <v>882</v>
      </c>
      <c r="G12" s="22" t="n">
        <f aca="false">F12*(1-$B$7)</f>
        <v>749.7</v>
      </c>
      <c r="H12" s="22" t="n">
        <f aca="false">H11+G12</f>
        <v>1499.4</v>
      </c>
    </row>
    <row r="13" customFormat="false" ht="15" hidden="false" customHeight="false" outlineLevel="0" collapsed="false">
      <c r="A13" s="37" t="n">
        <v>4</v>
      </c>
      <c r="B13" s="32" t="n">
        <f aca="false">E12</f>
        <v>18</v>
      </c>
      <c r="C13" s="32" t="n">
        <f aca="false">$B$6</f>
        <v>6</v>
      </c>
      <c r="D13" s="32" t="n">
        <f aca="false">ROUND(B13*$B$5,0)</f>
        <v>1</v>
      </c>
      <c r="E13" s="32" t="n">
        <f aca="false">B13+C13-D13</f>
        <v>23</v>
      </c>
      <c r="F13" s="31" t="n">
        <f aca="false">E13*$B$4</f>
        <v>1127</v>
      </c>
      <c r="G13" s="31" t="n">
        <f aca="false">F13*(1-$B$7)</f>
        <v>957.95</v>
      </c>
      <c r="H13" s="31" t="n">
        <f aca="false">H12+G13</f>
        <v>2457.35</v>
      </c>
    </row>
    <row r="14" customFormat="false" ht="15" hidden="false" customHeight="false" outlineLevel="0" collapsed="false">
      <c r="A14" s="36" t="n">
        <v>5</v>
      </c>
      <c r="B14" s="23" t="n">
        <f aca="false">E13</f>
        <v>23</v>
      </c>
      <c r="C14" s="23" t="n">
        <f aca="false">$B$6</f>
        <v>6</v>
      </c>
      <c r="D14" s="23" t="n">
        <f aca="false">ROUND(B14*$B$5,0)</f>
        <v>1</v>
      </c>
      <c r="E14" s="23" t="n">
        <f aca="false">B14+C14-D14</f>
        <v>28</v>
      </c>
      <c r="F14" s="22" t="n">
        <f aca="false">E14*$B$4</f>
        <v>1372</v>
      </c>
      <c r="G14" s="22" t="n">
        <f aca="false">F14*(1-$B$7)</f>
        <v>1166.2</v>
      </c>
      <c r="H14" s="22" t="n">
        <f aca="false">H13+G14</f>
        <v>3623.55</v>
      </c>
    </row>
    <row r="15" customFormat="false" ht="15" hidden="false" customHeight="false" outlineLevel="0" collapsed="false">
      <c r="A15" s="37" t="n">
        <v>6</v>
      </c>
      <c r="B15" s="32" t="n">
        <f aca="false">E14</f>
        <v>28</v>
      </c>
      <c r="C15" s="32" t="n">
        <f aca="false">$B$6</f>
        <v>6</v>
      </c>
      <c r="D15" s="32" t="n">
        <f aca="false">ROUND(B15*$B$5,0)</f>
        <v>1</v>
      </c>
      <c r="E15" s="32" t="n">
        <f aca="false">B15+C15-D15</f>
        <v>33</v>
      </c>
      <c r="F15" s="31" t="n">
        <f aca="false">E15*$B$4</f>
        <v>1617</v>
      </c>
      <c r="G15" s="31" t="n">
        <f aca="false">F15*(1-$B$7)</f>
        <v>1374.45</v>
      </c>
      <c r="H15" s="31" t="n">
        <f aca="false">H14+G15</f>
        <v>4998</v>
      </c>
    </row>
    <row r="16" customFormat="false" ht="15" hidden="false" customHeight="false" outlineLevel="0" collapsed="false">
      <c r="A16" s="36" t="n">
        <v>7</v>
      </c>
      <c r="B16" s="23" t="n">
        <f aca="false">E15</f>
        <v>33</v>
      </c>
      <c r="C16" s="23" t="n">
        <f aca="false">$B$6</f>
        <v>6</v>
      </c>
      <c r="D16" s="23" t="n">
        <f aca="false">ROUND(B16*$B$5,0)</f>
        <v>1</v>
      </c>
      <c r="E16" s="23" t="n">
        <f aca="false">B16+C16-D16</f>
        <v>38</v>
      </c>
      <c r="F16" s="22" t="n">
        <f aca="false">E16*$B$4</f>
        <v>1862</v>
      </c>
      <c r="G16" s="22" t="n">
        <f aca="false">F16*(1-$B$7)</f>
        <v>1582.7</v>
      </c>
      <c r="H16" s="22" t="n">
        <f aca="false">H15+G16</f>
        <v>6580.7</v>
      </c>
    </row>
    <row r="17" customFormat="false" ht="15" hidden="false" customHeight="false" outlineLevel="0" collapsed="false">
      <c r="A17" s="37" t="n">
        <v>8</v>
      </c>
      <c r="B17" s="32" t="n">
        <f aca="false">E16</f>
        <v>38</v>
      </c>
      <c r="C17" s="32" t="n">
        <f aca="false">$B$6</f>
        <v>6</v>
      </c>
      <c r="D17" s="32" t="n">
        <f aca="false">ROUND(B17*$B$5,0)</f>
        <v>2</v>
      </c>
      <c r="E17" s="32" t="n">
        <f aca="false">B17+C17-D17</f>
        <v>42</v>
      </c>
      <c r="F17" s="31" t="n">
        <f aca="false">E17*$B$4</f>
        <v>2058</v>
      </c>
      <c r="G17" s="31" t="n">
        <f aca="false">F17*(1-$B$7)</f>
        <v>1749.3</v>
      </c>
      <c r="H17" s="31" t="n">
        <f aca="false">H16+G17</f>
        <v>8330</v>
      </c>
    </row>
    <row r="18" customFormat="false" ht="15" hidden="false" customHeight="false" outlineLevel="0" collapsed="false">
      <c r="A18" s="36" t="n">
        <v>9</v>
      </c>
      <c r="B18" s="23" t="n">
        <f aca="false">E17</f>
        <v>42</v>
      </c>
      <c r="C18" s="23" t="n">
        <f aca="false">$B$6</f>
        <v>6</v>
      </c>
      <c r="D18" s="23" t="n">
        <f aca="false">ROUND(B18*$B$5,0)</f>
        <v>2</v>
      </c>
      <c r="E18" s="23" t="n">
        <f aca="false">B18+C18-D18</f>
        <v>46</v>
      </c>
      <c r="F18" s="22" t="n">
        <f aca="false">E18*$B$4</f>
        <v>2254</v>
      </c>
      <c r="G18" s="22" t="n">
        <f aca="false">F18*(1-$B$7)</f>
        <v>1915.9</v>
      </c>
      <c r="H18" s="22" t="n">
        <f aca="false">H17+G18</f>
        <v>10245.9</v>
      </c>
    </row>
    <row r="19" customFormat="false" ht="15" hidden="false" customHeight="false" outlineLevel="0" collapsed="false">
      <c r="A19" s="37" t="n">
        <v>10</v>
      </c>
      <c r="B19" s="32" t="n">
        <f aca="false">E18</f>
        <v>46</v>
      </c>
      <c r="C19" s="32" t="n">
        <f aca="false">$B$6</f>
        <v>6</v>
      </c>
      <c r="D19" s="32" t="n">
        <f aca="false">ROUND(B19*$B$5,0)</f>
        <v>2</v>
      </c>
      <c r="E19" s="32" t="n">
        <f aca="false">B19+C19-D19</f>
        <v>50</v>
      </c>
      <c r="F19" s="31" t="n">
        <f aca="false">E19*$B$4</f>
        <v>2450</v>
      </c>
      <c r="G19" s="31" t="n">
        <f aca="false">F19*(1-$B$7)</f>
        <v>2082.5</v>
      </c>
      <c r="H19" s="31" t="n">
        <f aca="false">H18+G19</f>
        <v>12328.4</v>
      </c>
    </row>
    <row r="20" customFormat="false" ht="15" hidden="false" customHeight="false" outlineLevel="0" collapsed="false">
      <c r="A20" s="36" t="n">
        <v>11</v>
      </c>
      <c r="B20" s="23" t="n">
        <f aca="false">E19</f>
        <v>50</v>
      </c>
      <c r="C20" s="23" t="n">
        <f aca="false">$B$6</f>
        <v>6</v>
      </c>
      <c r="D20" s="23" t="n">
        <f aca="false">ROUND(B20*$B$5,0)</f>
        <v>2</v>
      </c>
      <c r="E20" s="23" t="n">
        <f aca="false">B20+C20-D20</f>
        <v>54</v>
      </c>
      <c r="F20" s="22" t="n">
        <f aca="false">E20*$B$4</f>
        <v>2646</v>
      </c>
      <c r="G20" s="22" t="n">
        <f aca="false">F20*(1-$B$7)</f>
        <v>2249.1</v>
      </c>
      <c r="H20" s="22" t="n">
        <f aca="false">H19+G20</f>
        <v>14577.5</v>
      </c>
    </row>
    <row r="21" customFormat="false" ht="15" hidden="false" customHeight="false" outlineLevel="0" collapsed="false">
      <c r="A21" s="37" t="n">
        <v>12</v>
      </c>
      <c r="B21" s="32" t="n">
        <f aca="false">E20</f>
        <v>54</v>
      </c>
      <c r="C21" s="32" t="n">
        <f aca="false">$B$6</f>
        <v>6</v>
      </c>
      <c r="D21" s="32" t="n">
        <f aca="false">ROUND(B21*$B$5,0)</f>
        <v>2</v>
      </c>
      <c r="E21" s="32" t="n">
        <f aca="false">B21+C21-D21</f>
        <v>58</v>
      </c>
      <c r="F21" s="31" t="n">
        <f aca="false">E21*$B$4</f>
        <v>2842</v>
      </c>
      <c r="G21" s="31" t="n">
        <f aca="false">F21*(1-$B$7)</f>
        <v>2415.7</v>
      </c>
      <c r="H21" s="31" t="n">
        <f aca="false">H20+G21</f>
        <v>16993.2</v>
      </c>
    </row>
    <row r="22" customFormat="false" ht="15" hidden="false" customHeight="false" outlineLevel="0" collapsed="false">
      <c r="A22" s="36" t="n">
        <v>13</v>
      </c>
      <c r="B22" s="23" t="n">
        <f aca="false">E21</f>
        <v>58</v>
      </c>
      <c r="C22" s="23" t="n">
        <f aca="false">$B$6</f>
        <v>6</v>
      </c>
      <c r="D22" s="23" t="n">
        <f aca="false">ROUND(B22*$B$5,0)</f>
        <v>2</v>
      </c>
      <c r="E22" s="23" t="n">
        <f aca="false">B22+C22-D22</f>
        <v>62</v>
      </c>
      <c r="F22" s="22" t="n">
        <f aca="false">E22*$B$4</f>
        <v>3038</v>
      </c>
      <c r="G22" s="22" t="n">
        <f aca="false">F22*(1-$B$7)</f>
        <v>2582.3</v>
      </c>
      <c r="H22" s="22" t="n">
        <f aca="false">H21+G22</f>
        <v>19575.5</v>
      </c>
    </row>
    <row r="23" customFormat="false" ht="15" hidden="false" customHeight="false" outlineLevel="0" collapsed="false">
      <c r="A23" s="37" t="n">
        <v>14</v>
      </c>
      <c r="B23" s="32" t="n">
        <f aca="false">E22</f>
        <v>62</v>
      </c>
      <c r="C23" s="32" t="n">
        <f aca="false">$B$6</f>
        <v>6</v>
      </c>
      <c r="D23" s="32" t="n">
        <f aca="false">ROUND(B23*$B$5,0)</f>
        <v>2</v>
      </c>
      <c r="E23" s="32" t="n">
        <f aca="false">B23+C23-D23</f>
        <v>66</v>
      </c>
      <c r="F23" s="31" t="n">
        <f aca="false">E23*$B$4</f>
        <v>3234</v>
      </c>
      <c r="G23" s="31" t="n">
        <f aca="false">F23*(1-$B$7)</f>
        <v>2748.9</v>
      </c>
      <c r="H23" s="31" t="n">
        <f aca="false">H22+G23</f>
        <v>22324.4</v>
      </c>
    </row>
    <row r="24" customFormat="false" ht="15" hidden="false" customHeight="false" outlineLevel="0" collapsed="false">
      <c r="A24" s="36" t="n">
        <v>15</v>
      </c>
      <c r="B24" s="23" t="n">
        <f aca="false">E23</f>
        <v>66</v>
      </c>
      <c r="C24" s="23" t="n">
        <f aca="false">$B$6</f>
        <v>6</v>
      </c>
      <c r="D24" s="23" t="n">
        <f aca="false">ROUND(B24*$B$5,0)</f>
        <v>3</v>
      </c>
      <c r="E24" s="23" t="n">
        <f aca="false">B24+C24-D24</f>
        <v>69</v>
      </c>
      <c r="F24" s="22" t="n">
        <f aca="false">E24*$B$4</f>
        <v>3381</v>
      </c>
      <c r="G24" s="22" t="n">
        <f aca="false">F24*(1-$B$7)</f>
        <v>2873.85</v>
      </c>
      <c r="H24" s="22" t="n">
        <f aca="false">H23+G24</f>
        <v>25198.25</v>
      </c>
    </row>
    <row r="25" customFormat="false" ht="15" hidden="false" customHeight="false" outlineLevel="0" collapsed="false">
      <c r="A25" s="37" t="n">
        <v>16</v>
      </c>
      <c r="B25" s="32" t="n">
        <f aca="false">E24</f>
        <v>69</v>
      </c>
      <c r="C25" s="32" t="n">
        <f aca="false">$B$6</f>
        <v>6</v>
      </c>
      <c r="D25" s="32" t="n">
        <f aca="false">ROUND(B25*$B$5,0)</f>
        <v>3</v>
      </c>
      <c r="E25" s="32" t="n">
        <f aca="false">B25+C25-D25</f>
        <v>72</v>
      </c>
      <c r="F25" s="31" t="n">
        <f aca="false">E25*$B$4</f>
        <v>3528</v>
      </c>
      <c r="G25" s="31" t="n">
        <f aca="false">F25*(1-$B$7)</f>
        <v>2998.8</v>
      </c>
      <c r="H25" s="31" t="n">
        <f aca="false">H24+G25</f>
        <v>28197.05</v>
      </c>
    </row>
    <row r="26" customFormat="false" ht="15" hidden="false" customHeight="false" outlineLevel="0" collapsed="false">
      <c r="A26" s="36" t="n">
        <v>17</v>
      </c>
      <c r="B26" s="23" t="n">
        <f aca="false">E25</f>
        <v>72</v>
      </c>
      <c r="C26" s="23" t="n">
        <f aca="false">$B$6</f>
        <v>6</v>
      </c>
      <c r="D26" s="23" t="n">
        <f aca="false">ROUND(B26*$B$5,0)</f>
        <v>3</v>
      </c>
      <c r="E26" s="23" t="n">
        <f aca="false">B26+C26-D26</f>
        <v>75</v>
      </c>
      <c r="F26" s="22" t="n">
        <f aca="false">E26*$B$4</f>
        <v>3675</v>
      </c>
      <c r="G26" s="22" t="n">
        <f aca="false">F26*(1-$B$7)</f>
        <v>3123.75</v>
      </c>
      <c r="H26" s="22" t="n">
        <f aca="false">H25+G26</f>
        <v>31320.8</v>
      </c>
    </row>
    <row r="27" customFormat="false" ht="15" hidden="false" customHeight="false" outlineLevel="0" collapsed="false">
      <c r="A27" s="37" t="n">
        <v>18</v>
      </c>
      <c r="B27" s="32" t="n">
        <f aca="false">E26</f>
        <v>75</v>
      </c>
      <c r="C27" s="32" t="n">
        <f aca="false">$B$6</f>
        <v>6</v>
      </c>
      <c r="D27" s="32" t="n">
        <f aca="false">ROUND(B27*$B$5,0)</f>
        <v>3</v>
      </c>
      <c r="E27" s="32" t="n">
        <f aca="false">B27+C27-D27</f>
        <v>78</v>
      </c>
      <c r="F27" s="31" t="n">
        <f aca="false">E27*$B$4</f>
        <v>3822</v>
      </c>
      <c r="G27" s="31" t="n">
        <f aca="false">F27*(1-$B$7)</f>
        <v>3248.7</v>
      </c>
      <c r="H27" s="31" t="n">
        <f aca="false">H26+G27</f>
        <v>34569.5</v>
      </c>
    </row>
    <row r="28" customFormat="false" ht="15" hidden="false" customHeight="false" outlineLevel="0" collapsed="false">
      <c r="A28" s="36" t="n">
        <v>19</v>
      </c>
      <c r="B28" s="23" t="n">
        <f aca="false">E27</f>
        <v>78</v>
      </c>
      <c r="C28" s="23" t="n">
        <f aca="false">$B$6</f>
        <v>6</v>
      </c>
      <c r="D28" s="23" t="n">
        <f aca="false">ROUND(B28*$B$5,0)</f>
        <v>3</v>
      </c>
      <c r="E28" s="23" t="n">
        <f aca="false">B28+C28-D28</f>
        <v>81</v>
      </c>
      <c r="F28" s="22" t="n">
        <f aca="false">E28*$B$4</f>
        <v>3969</v>
      </c>
      <c r="G28" s="22" t="n">
        <f aca="false">F28*(1-$B$7)</f>
        <v>3373.65</v>
      </c>
      <c r="H28" s="22" t="n">
        <f aca="false">H27+G28</f>
        <v>37943.15</v>
      </c>
    </row>
    <row r="29" customFormat="false" ht="15" hidden="false" customHeight="false" outlineLevel="0" collapsed="false">
      <c r="A29" s="37" t="n">
        <v>20</v>
      </c>
      <c r="B29" s="32" t="n">
        <f aca="false">E28</f>
        <v>81</v>
      </c>
      <c r="C29" s="32" t="n">
        <f aca="false">$B$6</f>
        <v>6</v>
      </c>
      <c r="D29" s="32" t="n">
        <f aca="false">ROUND(B29*$B$5,0)</f>
        <v>3</v>
      </c>
      <c r="E29" s="32" t="n">
        <f aca="false">B29+C29-D29</f>
        <v>84</v>
      </c>
      <c r="F29" s="31" t="n">
        <f aca="false">E29*$B$4</f>
        <v>4116</v>
      </c>
      <c r="G29" s="31" t="n">
        <f aca="false">F29*(1-$B$7)</f>
        <v>3498.6</v>
      </c>
      <c r="H29" s="31" t="n">
        <f aca="false">H28+G29</f>
        <v>41441.75</v>
      </c>
    </row>
    <row r="30" customFormat="false" ht="15" hidden="false" customHeight="false" outlineLevel="0" collapsed="false">
      <c r="A30" s="36" t="n">
        <v>21</v>
      </c>
      <c r="B30" s="23" t="n">
        <f aca="false">E29</f>
        <v>84</v>
      </c>
      <c r="C30" s="23" t="n">
        <f aca="false">$B$6</f>
        <v>6</v>
      </c>
      <c r="D30" s="23" t="n">
        <f aca="false">ROUND(B30*$B$5,0)</f>
        <v>3</v>
      </c>
      <c r="E30" s="23" t="n">
        <f aca="false">B30+C30-D30</f>
        <v>87</v>
      </c>
      <c r="F30" s="22" t="n">
        <f aca="false">E30*$B$4</f>
        <v>4263</v>
      </c>
      <c r="G30" s="22" t="n">
        <f aca="false">F30*(1-$B$7)</f>
        <v>3623.55</v>
      </c>
      <c r="H30" s="22" t="n">
        <f aca="false">H29+G30</f>
        <v>45065.3</v>
      </c>
    </row>
    <row r="31" customFormat="false" ht="15" hidden="false" customHeight="false" outlineLevel="0" collapsed="false">
      <c r="A31" s="37" t="n">
        <v>22</v>
      </c>
      <c r="B31" s="32" t="n">
        <f aca="false">E30</f>
        <v>87</v>
      </c>
      <c r="C31" s="32" t="n">
        <f aca="false">$B$6</f>
        <v>6</v>
      </c>
      <c r="D31" s="32" t="n">
        <f aca="false">ROUND(B31*$B$5,0)</f>
        <v>3</v>
      </c>
      <c r="E31" s="32" t="n">
        <f aca="false">B31+C31-D31</f>
        <v>90</v>
      </c>
      <c r="F31" s="31" t="n">
        <f aca="false">E31*$B$4</f>
        <v>4410</v>
      </c>
      <c r="G31" s="31" t="n">
        <f aca="false">F31*(1-$B$7)</f>
        <v>3748.5</v>
      </c>
      <c r="H31" s="31" t="n">
        <f aca="false">H30+G31</f>
        <v>48813.8</v>
      </c>
    </row>
    <row r="32" customFormat="false" ht="15" hidden="false" customHeight="false" outlineLevel="0" collapsed="false">
      <c r="A32" s="36" t="n">
        <v>23</v>
      </c>
      <c r="B32" s="23" t="n">
        <f aca="false">E31</f>
        <v>90</v>
      </c>
      <c r="C32" s="23" t="n">
        <f aca="false">$B$6</f>
        <v>6</v>
      </c>
      <c r="D32" s="23" t="n">
        <f aca="false">ROUND(B32*$B$5,0)</f>
        <v>4</v>
      </c>
      <c r="E32" s="23" t="n">
        <f aca="false">B32+C32-D32</f>
        <v>92</v>
      </c>
      <c r="F32" s="22" t="n">
        <f aca="false">E32*$B$4</f>
        <v>4508</v>
      </c>
      <c r="G32" s="22" t="n">
        <f aca="false">F32*(1-$B$7)</f>
        <v>3831.8</v>
      </c>
      <c r="H32" s="22" t="n">
        <f aca="false">H31+G32</f>
        <v>52645.6</v>
      </c>
    </row>
    <row r="33" customFormat="false" ht="15" hidden="false" customHeight="false" outlineLevel="0" collapsed="false">
      <c r="A33" s="37" t="n">
        <v>24</v>
      </c>
      <c r="B33" s="32" t="n">
        <f aca="false">E32</f>
        <v>92</v>
      </c>
      <c r="C33" s="32" t="n">
        <f aca="false">$B$6</f>
        <v>6</v>
      </c>
      <c r="D33" s="32" t="n">
        <f aca="false">ROUND(B33*$B$5,0)</f>
        <v>4</v>
      </c>
      <c r="E33" s="32" t="n">
        <f aca="false">B33+C33-D33</f>
        <v>94</v>
      </c>
      <c r="F33" s="31" t="n">
        <f aca="false">E33*$B$4</f>
        <v>4606</v>
      </c>
      <c r="G33" s="31" t="n">
        <f aca="false">F33*(1-$B$7)</f>
        <v>3915.1</v>
      </c>
      <c r="H33" s="31" t="n">
        <f aca="false">H32+G33</f>
        <v>56560.7</v>
      </c>
    </row>
    <row r="35" customFormat="false" ht="15" hidden="false" customHeight="false" outlineLevel="0" collapsed="false">
      <c r="A35" s="4" t="s">
        <v>79</v>
      </c>
      <c r="B35" s="22" t="n">
        <f aca="false">G33</f>
        <v>3915.1</v>
      </c>
    </row>
    <row r="36" customFormat="false" ht="15" hidden="false" customHeight="false" outlineLevel="0" collapsed="false">
      <c r="A36" s="4" t="s">
        <v>80</v>
      </c>
      <c r="B36" s="36" t="str">
        <f aca="false">IFERROR(MATCH(TRUE(),INDEX(G10:G33&gt;=Dials!$B$5,0),0),"not within 24 months")</f>
        <v>not within 24 months</v>
      </c>
    </row>
    <row r="37" customFormat="false" ht="15" hidden="false" customHeight="false" outlineLevel="0" collapsed="false">
      <c r="A37" s="4" t="s">
        <v>81</v>
      </c>
      <c r="B37" s="23" t="n">
        <f aca="false">IF($B$5=0,0,$B$6/$B$5)</f>
        <v>150</v>
      </c>
    </row>
    <row r="38" customFormat="false" ht="15" hidden="false" customHeight="false" outlineLevel="0" collapsed="false">
      <c r="A38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16" t="s">
        <v>69</v>
      </c>
    </row>
    <row r="4" customFormat="false" ht="15" hidden="false" customHeight="false" outlineLevel="0" collapsed="false">
      <c r="A4" s="4" t="s">
        <v>56</v>
      </c>
      <c r="B4" s="18" t="n">
        <f aca="false">Dials!B12</f>
        <v>119</v>
      </c>
    </row>
    <row r="5" customFormat="false" ht="15" hidden="false" customHeight="false" outlineLevel="0" collapsed="false">
      <c r="A5" s="4" t="s">
        <v>39</v>
      </c>
      <c r="B5" s="20" t="n">
        <f aca="false">Dials!C12</f>
        <v>0.04</v>
      </c>
    </row>
    <row r="6" customFormat="false" ht="15" hidden="false" customHeight="false" outlineLevel="0" collapsed="false">
      <c r="A6" s="4" t="s">
        <v>70</v>
      </c>
      <c r="B6" s="24" t="n">
        <f aca="false">Dials!E12</f>
        <v>3</v>
      </c>
    </row>
    <row r="7" customFormat="false" ht="15" hidden="false" customHeight="false" outlineLevel="0" collapsed="false">
      <c r="A7" s="4" t="s">
        <v>30</v>
      </c>
      <c r="B7" s="20" t="n">
        <f aca="false">Dials!$B$4</f>
        <v>0.15</v>
      </c>
    </row>
    <row r="9" customFormat="false" ht="23.85" hidden="false" customHeight="false" outlineLevel="0" collapsed="false">
      <c r="A9" s="13" t="s">
        <v>71</v>
      </c>
      <c r="B9" s="13" t="s">
        <v>72</v>
      </c>
      <c r="C9" s="13" t="s">
        <v>73</v>
      </c>
      <c r="D9" s="13" t="s">
        <v>74</v>
      </c>
      <c r="E9" s="13" t="s">
        <v>75</v>
      </c>
      <c r="F9" s="13" t="s">
        <v>76</v>
      </c>
      <c r="G9" s="13" t="s">
        <v>77</v>
      </c>
      <c r="H9" s="13" t="s">
        <v>78</v>
      </c>
    </row>
    <row r="10" customFormat="false" ht="15" hidden="false" customHeight="false" outlineLevel="0" collapsed="false">
      <c r="A10" s="36" t="n">
        <v>1</v>
      </c>
      <c r="B10" s="24" t="n">
        <f aca="false">Dials!$B$6</f>
        <v>0</v>
      </c>
      <c r="C10" s="23" t="n">
        <f aca="false">$B$6</f>
        <v>3</v>
      </c>
      <c r="D10" s="23" t="n">
        <f aca="false">ROUND(B10*$B$5,0)</f>
        <v>0</v>
      </c>
      <c r="E10" s="23" t="n">
        <f aca="false">B10+C10-D10</f>
        <v>3</v>
      </c>
      <c r="F10" s="22" t="n">
        <f aca="false">E10*$B$4</f>
        <v>357</v>
      </c>
      <c r="G10" s="22" t="n">
        <f aca="false">F10*(1-$B$7)</f>
        <v>303.45</v>
      </c>
      <c r="H10" s="22" t="n">
        <f aca="false">G10</f>
        <v>303.45</v>
      </c>
    </row>
    <row r="11" customFormat="false" ht="15" hidden="false" customHeight="false" outlineLevel="0" collapsed="false">
      <c r="A11" s="37" t="n">
        <v>2</v>
      </c>
      <c r="B11" s="32" t="n">
        <f aca="false">E10</f>
        <v>3</v>
      </c>
      <c r="C11" s="32" t="n">
        <f aca="false">$B$6</f>
        <v>3</v>
      </c>
      <c r="D11" s="32" t="n">
        <f aca="false">ROUND(B11*$B$5,0)</f>
        <v>0</v>
      </c>
      <c r="E11" s="32" t="n">
        <f aca="false">B11+C11-D11</f>
        <v>6</v>
      </c>
      <c r="F11" s="31" t="n">
        <f aca="false">E11*$B$4</f>
        <v>714</v>
      </c>
      <c r="G11" s="31" t="n">
        <f aca="false">F11*(1-$B$7)</f>
        <v>606.9</v>
      </c>
      <c r="H11" s="31" t="n">
        <f aca="false">H10+G11</f>
        <v>910.35</v>
      </c>
    </row>
    <row r="12" customFormat="false" ht="15" hidden="false" customHeight="false" outlineLevel="0" collapsed="false">
      <c r="A12" s="36" t="n">
        <v>3</v>
      </c>
      <c r="B12" s="23" t="n">
        <f aca="false">E11</f>
        <v>6</v>
      </c>
      <c r="C12" s="23" t="n">
        <f aca="false">$B$6</f>
        <v>3</v>
      </c>
      <c r="D12" s="23" t="n">
        <f aca="false">ROUND(B12*$B$5,0)</f>
        <v>0</v>
      </c>
      <c r="E12" s="23" t="n">
        <f aca="false">B12+C12-D12</f>
        <v>9</v>
      </c>
      <c r="F12" s="22" t="n">
        <f aca="false">E12*$B$4</f>
        <v>1071</v>
      </c>
      <c r="G12" s="22" t="n">
        <f aca="false">F12*(1-$B$7)</f>
        <v>910.35</v>
      </c>
      <c r="H12" s="22" t="n">
        <f aca="false">H11+G12</f>
        <v>1820.7</v>
      </c>
    </row>
    <row r="13" customFormat="false" ht="15" hidden="false" customHeight="false" outlineLevel="0" collapsed="false">
      <c r="A13" s="37" t="n">
        <v>4</v>
      </c>
      <c r="B13" s="32" t="n">
        <f aca="false">E12</f>
        <v>9</v>
      </c>
      <c r="C13" s="32" t="n">
        <f aca="false">$B$6</f>
        <v>3</v>
      </c>
      <c r="D13" s="32" t="n">
        <f aca="false">ROUND(B13*$B$5,0)</f>
        <v>0</v>
      </c>
      <c r="E13" s="32" t="n">
        <f aca="false">B13+C13-D13</f>
        <v>12</v>
      </c>
      <c r="F13" s="31" t="n">
        <f aca="false">E13*$B$4</f>
        <v>1428</v>
      </c>
      <c r="G13" s="31" t="n">
        <f aca="false">F13*(1-$B$7)</f>
        <v>1213.8</v>
      </c>
      <c r="H13" s="31" t="n">
        <f aca="false">H12+G13</f>
        <v>3034.5</v>
      </c>
    </row>
    <row r="14" customFormat="false" ht="15" hidden="false" customHeight="false" outlineLevel="0" collapsed="false">
      <c r="A14" s="36" t="n">
        <v>5</v>
      </c>
      <c r="B14" s="23" t="n">
        <f aca="false">E13</f>
        <v>12</v>
      </c>
      <c r="C14" s="23" t="n">
        <f aca="false">$B$6</f>
        <v>3</v>
      </c>
      <c r="D14" s="23" t="n">
        <f aca="false">ROUND(B14*$B$5,0)</f>
        <v>0</v>
      </c>
      <c r="E14" s="23" t="n">
        <f aca="false">B14+C14-D14</f>
        <v>15</v>
      </c>
      <c r="F14" s="22" t="n">
        <f aca="false">E14*$B$4</f>
        <v>1785</v>
      </c>
      <c r="G14" s="22" t="n">
        <f aca="false">F14*(1-$B$7)</f>
        <v>1517.25</v>
      </c>
      <c r="H14" s="22" t="n">
        <f aca="false">H13+G14</f>
        <v>4551.75</v>
      </c>
    </row>
    <row r="15" customFormat="false" ht="15" hidden="false" customHeight="false" outlineLevel="0" collapsed="false">
      <c r="A15" s="37" t="n">
        <v>6</v>
      </c>
      <c r="B15" s="32" t="n">
        <f aca="false">E14</f>
        <v>15</v>
      </c>
      <c r="C15" s="32" t="n">
        <f aca="false">$B$6</f>
        <v>3</v>
      </c>
      <c r="D15" s="32" t="n">
        <f aca="false">ROUND(B15*$B$5,0)</f>
        <v>1</v>
      </c>
      <c r="E15" s="32" t="n">
        <f aca="false">B15+C15-D15</f>
        <v>17</v>
      </c>
      <c r="F15" s="31" t="n">
        <f aca="false">E15*$B$4</f>
        <v>2023</v>
      </c>
      <c r="G15" s="31" t="n">
        <f aca="false">F15*(1-$B$7)</f>
        <v>1719.55</v>
      </c>
      <c r="H15" s="31" t="n">
        <f aca="false">H14+G15</f>
        <v>6271.3</v>
      </c>
    </row>
    <row r="16" customFormat="false" ht="15" hidden="false" customHeight="false" outlineLevel="0" collapsed="false">
      <c r="A16" s="36" t="n">
        <v>7</v>
      </c>
      <c r="B16" s="23" t="n">
        <f aca="false">E15</f>
        <v>17</v>
      </c>
      <c r="C16" s="23" t="n">
        <f aca="false">$B$6</f>
        <v>3</v>
      </c>
      <c r="D16" s="23" t="n">
        <f aca="false">ROUND(B16*$B$5,0)</f>
        <v>1</v>
      </c>
      <c r="E16" s="23" t="n">
        <f aca="false">B16+C16-D16</f>
        <v>19</v>
      </c>
      <c r="F16" s="22" t="n">
        <f aca="false">E16*$B$4</f>
        <v>2261</v>
      </c>
      <c r="G16" s="22" t="n">
        <f aca="false">F16*(1-$B$7)</f>
        <v>1921.85</v>
      </c>
      <c r="H16" s="22" t="n">
        <f aca="false">H15+G16</f>
        <v>8193.15</v>
      </c>
    </row>
    <row r="17" customFormat="false" ht="15" hidden="false" customHeight="false" outlineLevel="0" collapsed="false">
      <c r="A17" s="37" t="n">
        <v>8</v>
      </c>
      <c r="B17" s="32" t="n">
        <f aca="false">E16</f>
        <v>19</v>
      </c>
      <c r="C17" s="32" t="n">
        <f aca="false">$B$6</f>
        <v>3</v>
      </c>
      <c r="D17" s="32" t="n">
        <f aca="false">ROUND(B17*$B$5,0)</f>
        <v>1</v>
      </c>
      <c r="E17" s="32" t="n">
        <f aca="false">B17+C17-D17</f>
        <v>21</v>
      </c>
      <c r="F17" s="31" t="n">
        <f aca="false">E17*$B$4</f>
        <v>2499</v>
      </c>
      <c r="G17" s="31" t="n">
        <f aca="false">F17*(1-$B$7)</f>
        <v>2124.15</v>
      </c>
      <c r="H17" s="31" t="n">
        <f aca="false">H16+G17</f>
        <v>10317.3</v>
      </c>
    </row>
    <row r="18" customFormat="false" ht="15" hidden="false" customHeight="false" outlineLevel="0" collapsed="false">
      <c r="A18" s="36" t="n">
        <v>9</v>
      </c>
      <c r="B18" s="23" t="n">
        <f aca="false">E17</f>
        <v>21</v>
      </c>
      <c r="C18" s="23" t="n">
        <f aca="false">$B$6</f>
        <v>3</v>
      </c>
      <c r="D18" s="23" t="n">
        <f aca="false">ROUND(B18*$B$5,0)</f>
        <v>1</v>
      </c>
      <c r="E18" s="23" t="n">
        <f aca="false">B18+C18-D18</f>
        <v>23</v>
      </c>
      <c r="F18" s="22" t="n">
        <f aca="false">E18*$B$4</f>
        <v>2737</v>
      </c>
      <c r="G18" s="22" t="n">
        <f aca="false">F18*(1-$B$7)</f>
        <v>2326.45</v>
      </c>
      <c r="H18" s="22" t="n">
        <f aca="false">H17+G18</f>
        <v>12643.75</v>
      </c>
    </row>
    <row r="19" customFormat="false" ht="15" hidden="false" customHeight="false" outlineLevel="0" collapsed="false">
      <c r="A19" s="37" t="n">
        <v>10</v>
      </c>
      <c r="B19" s="32" t="n">
        <f aca="false">E18</f>
        <v>23</v>
      </c>
      <c r="C19" s="32" t="n">
        <f aca="false">$B$6</f>
        <v>3</v>
      </c>
      <c r="D19" s="32" t="n">
        <f aca="false">ROUND(B19*$B$5,0)</f>
        <v>1</v>
      </c>
      <c r="E19" s="32" t="n">
        <f aca="false">B19+C19-D19</f>
        <v>25</v>
      </c>
      <c r="F19" s="31" t="n">
        <f aca="false">E19*$B$4</f>
        <v>2975</v>
      </c>
      <c r="G19" s="31" t="n">
        <f aca="false">F19*(1-$B$7)</f>
        <v>2528.75</v>
      </c>
      <c r="H19" s="31" t="n">
        <f aca="false">H18+G19</f>
        <v>15172.5</v>
      </c>
    </row>
    <row r="20" customFormat="false" ht="15" hidden="false" customHeight="false" outlineLevel="0" collapsed="false">
      <c r="A20" s="36" t="n">
        <v>11</v>
      </c>
      <c r="B20" s="23" t="n">
        <f aca="false">E19</f>
        <v>25</v>
      </c>
      <c r="C20" s="23" t="n">
        <f aca="false">$B$6</f>
        <v>3</v>
      </c>
      <c r="D20" s="23" t="n">
        <f aca="false">ROUND(B20*$B$5,0)</f>
        <v>1</v>
      </c>
      <c r="E20" s="23" t="n">
        <f aca="false">B20+C20-D20</f>
        <v>27</v>
      </c>
      <c r="F20" s="22" t="n">
        <f aca="false">E20*$B$4</f>
        <v>3213</v>
      </c>
      <c r="G20" s="22" t="n">
        <f aca="false">F20*(1-$B$7)</f>
        <v>2731.05</v>
      </c>
      <c r="H20" s="22" t="n">
        <f aca="false">H19+G20</f>
        <v>17903.55</v>
      </c>
    </row>
    <row r="21" customFormat="false" ht="15" hidden="false" customHeight="false" outlineLevel="0" collapsed="false">
      <c r="A21" s="37" t="n">
        <v>12</v>
      </c>
      <c r="B21" s="32" t="n">
        <f aca="false">E20</f>
        <v>27</v>
      </c>
      <c r="C21" s="32" t="n">
        <f aca="false">$B$6</f>
        <v>3</v>
      </c>
      <c r="D21" s="32" t="n">
        <f aca="false">ROUND(B21*$B$5,0)</f>
        <v>1</v>
      </c>
      <c r="E21" s="32" t="n">
        <f aca="false">B21+C21-D21</f>
        <v>29</v>
      </c>
      <c r="F21" s="31" t="n">
        <f aca="false">E21*$B$4</f>
        <v>3451</v>
      </c>
      <c r="G21" s="31" t="n">
        <f aca="false">F21*(1-$B$7)</f>
        <v>2933.35</v>
      </c>
      <c r="H21" s="31" t="n">
        <f aca="false">H20+G21</f>
        <v>20836.9</v>
      </c>
    </row>
    <row r="22" customFormat="false" ht="15" hidden="false" customHeight="false" outlineLevel="0" collapsed="false">
      <c r="A22" s="36" t="n">
        <v>13</v>
      </c>
      <c r="B22" s="23" t="n">
        <f aca="false">E21</f>
        <v>29</v>
      </c>
      <c r="C22" s="23" t="n">
        <f aca="false">$B$6</f>
        <v>3</v>
      </c>
      <c r="D22" s="23" t="n">
        <f aca="false">ROUND(B22*$B$5,0)</f>
        <v>1</v>
      </c>
      <c r="E22" s="23" t="n">
        <f aca="false">B22+C22-D22</f>
        <v>31</v>
      </c>
      <c r="F22" s="22" t="n">
        <f aca="false">E22*$B$4</f>
        <v>3689</v>
      </c>
      <c r="G22" s="22" t="n">
        <f aca="false">F22*(1-$B$7)</f>
        <v>3135.65</v>
      </c>
      <c r="H22" s="22" t="n">
        <f aca="false">H21+G22</f>
        <v>23972.55</v>
      </c>
    </row>
    <row r="23" customFormat="false" ht="15" hidden="false" customHeight="false" outlineLevel="0" collapsed="false">
      <c r="A23" s="37" t="n">
        <v>14</v>
      </c>
      <c r="B23" s="32" t="n">
        <f aca="false">E22</f>
        <v>31</v>
      </c>
      <c r="C23" s="32" t="n">
        <f aca="false">$B$6</f>
        <v>3</v>
      </c>
      <c r="D23" s="32" t="n">
        <f aca="false">ROUND(B23*$B$5,0)</f>
        <v>1</v>
      </c>
      <c r="E23" s="32" t="n">
        <f aca="false">B23+C23-D23</f>
        <v>33</v>
      </c>
      <c r="F23" s="31" t="n">
        <f aca="false">E23*$B$4</f>
        <v>3927</v>
      </c>
      <c r="G23" s="31" t="n">
        <f aca="false">F23*(1-$B$7)</f>
        <v>3337.95</v>
      </c>
      <c r="H23" s="31" t="n">
        <f aca="false">H22+G23</f>
        <v>27310.5</v>
      </c>
    </row>
    <row r="24" customFormat="false" ht="15" hidden="false" customHeight="false" outlineLevel="0" collapsed="false">
      <c r="A24" s="36" t="n">
        <v>15</v>
      </c>
      <c r="B24" s="23" t="n">
        <f aca="false">E23</f>
        <v>33</v>
      </c>
      <c r="C24" s="23" t="n">
        <f aca="false">$B$6</f>
        <v>3</v>
      </c>
      <c r="D24" s="23" t="n">
        <f aca="false">ROUND(B24*$B$5,0)</f>
        <v>1</v>
      </c>
      <c r="E24" s="23" t="n">
        <f aca="false">B24+C24-D24</f>
        <v>35</v>
      </c>
      <c r="F24" s="22" t="n">
        <f aca="false">E24*$B$4</f>
        <v>4165</v>
      </c>
      <c r="G24" s="22" t="n">
        <f aca="false">F24*(1-$B$7)</f>
        <v>3540.25</v>
      </c>
      <c r="H24" s="22" t="n">
        <f aca="false">H23+G24</f>
        <v>30850.75</v>
      </c>
    </row>
    <row r="25" customFormat="false" ht="15" hidden="false" customHeight="false" outlineLevel="0" collapsed="false">
      <c r="A25" s="37" t="n">
        <v>16</v>
      </c>
      <c r="B25" s="32" t="n">
        <f aca="false">E24</f>
        <v>35</v>
      </c>
      <c r="C25" s="32" t="n">
        <f aca="false">$B$6</f>
        <v>3</v>
      </c>
      <c r="D25" s="32" t="n">
        <f aca="false">ROUND(B25*$B$5,0)</f>
        <v>1</v>
      </c>
      <c r="E25" s="32" t="n">
        <f aca="false">B25+C25-D25</f>
        <v>37</v>
      </c>
      <c r="F25" s="31" t="n">
        <f aca="false">E25*$B$4</f>
        <v>4403</v>
      </c>
      <c r="G25" s="31" t="n">
        <f aca="false">F25*(1-$B$7)</f>
        <v>3742.55</v>
      </c>
      <c r="H25" s="31" t="n">
        <f aca="false">H24+G25</f>
        <v>34593.3</v>
      </c>
    </row>
    <row r="26" customFormat="false" ht="15" hidden="false" customHeight="false" outlineLevel="0" collapsed="false">
      <c r="A26" s="36" t="n">
        <v>17</v>
      </c>
      <c r="B26" s="23" t="n">
        <f aca="false">E25</f>
        <v>37</v>
      </c>
      <c r="C26" s="23" t="n">
        <f aca="false">$B$6</f>
        <v>3</v>
      </c>
      <c r="D26" s="23" t="n">
        <f aca="false">ROUND(B26*$B$5,0)</f>
        <v>1</v>
      </c>
      <c r="E26" s="23" t="n">
        <f aca="false">B26+C26-D26</f>
        <v>39</v>
      </c>
      <c r="F26" s="22" t="n">
        <f aca="false">E26*$B$4</f>
        <v>4641</v>
      </c>
      <c r="G26" s="22" t="n">
        <f aca="false">F26*(1-$B$7)</f>
        <v>3944.85</v>
      </c>
      <c r="H26" s="22" t="n">
        <f aca="false">H25+G26</f>
        <v>38538.15</v>
      </c>
    </row>
    <row r="27" customFormat="false" ht="15" hidden="false" customHeight="false" outlineLevel="0" collapsed="false">
      <c r="A27" s="37" t="n">
        <v>18</v>
      </c>
      <c r="B27" s="32" t="n">
        <f aca="false">E26</f>
        <v>39</v>
      </c>
      <c r="C27" s="32" t="n">
        <f aca="false">$B$6</f>
        <v>3</v>
      </c>
      <c r="D27" s="32" t="n">
        <f aca="false">ROUND(B27*$B$5,0)</f>
        <v>2</v>
      </c>
      <c r="E27" s="32" t="n">
        <f aca="false">B27+C27-D27</f>
        <v>40</v>
      </c>
      <c r="F27" s="31" t="n">
        <f aca="false">E27*$B$4</f>
        <v>4760</v>
      </c>
      <c r="G27" s="31" t="n">
        <f aca="false">F27*(1-$B$7)</f>
        <v>4046</v>
      </c>
      <c r="H27" s="31" t="n">
        <f aca="false">H26+G27</f>
        <v>42584.15</v>
      </c>
    </row>
    <row r="28" customFormat="false" ht="15" hidden="false" customHeight="false" outlineLevel="0" collapsed="false">
      <c r="A28" s="36" t="n">
        <v>19</v>
      </c>
      <c r="B28" s="23" t="n">
        <f aca="false">E27</f>
        <v>40</v>
      </c>
      <c r="C28" s="23" t="n">
        <f aca="false">$B$6</f>
        <v>3</v>
      </c>
      <c r="D28" s="23" t="n">
        <f aca="false">ROUND(B28*$B$5,0)</f>
        <v>2</v>
      </c>
      <c r="E28" s="23" t="n">
        <f aca="false">B28+C28-D28</f>
        <v>41</v>
      </c>
      <c r="F28" s="22" t="n">
        <f aca="false">E28*$B$4</f>
        <v>4879</v>
      </c>
      <c r="G28" s="22" t="n">
        <f aca="false">F28*(1-$B$7)</f>
        <v>4147.15</v>
      </c>
      <c r="H28" s="22" t="n">
        <f aca="false">H27+G28</f>
        <v>46731.3</v>
      </c>
    </row>
    <row r="29" customFormat="false" ht="15" hidden="false" customHeight="false" outlineLevel="0" collapsed="false">
      <c r="A29" s="37" t="n">
        <v>20</v>
      </c>
      <c r="B29" s="32" t="n">
        <f aca="false">E28</f>
        <v>41</v>
      </c>
      <c r="C29" s="32" t="n">
        <f aca="false">$B$6</f>
        <v>3</v>
      </c>
      <c r="D29" s="32" t="n">
        <f aca="false">ROUND(B29*$B$5,0)</f>
        <v>2</v>
      </c>
      <c r="E29" s="32" t="n">
        <f aca="false">B29+C29-D29</f>
        <v>42</v>
      </c>
      <c r="F29" s="31" t="n">
        <f aca="false">E29*$B$4</f>
        <v>4998</v>
      </c>
      <c r="G29" s="31" t="n">
        <f aca="false">F29*(1-$B$7)</f>
        <v>4248.3</v>
      </c>
      <c r="H29" s="31" t="n">
        <f aca="false">H28+G29</f>
        <v>50979.6</v>
      </c>
    </row>
    <row r="30" customFormat="false" ht="15" hidden="false" customHeight="false" outlineLevel="0" collapsed="false">
      <c r="A30" s="36" t="n">
        <v>21</v>
      </c>
      <c r="B30" s="23" t="n">
        <f aca="false">E29</f>
        <v>42</v>
      </c>
      <c r="C30" s="23" t="n">
        <f aca="false">$B$6</f>
        <v>3</v>
      </c>
      <c r="D30" s="23" t="n">
        <f aca="false">ROUND(B30*$B$5,0)</f>
        <v>2</v>
      </c>
      <c r="E30" s="23" t="n">
        <f aca="false">B30+C30-D30</f>
        <v>43</v>
      </c>
      <c r="F30" s="22" t="n">
        <f aca="false">E30*$B$4</f>
        <v>5117</v>
      </c>
      <c r="G30" s="22" t="n">
        <f aca="false">F30*(1-$B$7)</f>
        <v>4349.45</v>
      </c>
      <c r="H30" s="22" t="n">
        <f aca="false">H29+G30</f>
        <v>55329.05</v>
      </c>
    </row>
    <row r="31" customFormat="false" ht="15" hidden="false" customHeight="false" outlineLevel="0" collapsed="false">
      <c r="A31" s="37" t="n">
        <v>22</v>
      </c>
      <c r="B31" s="32" t="n">
        <f aca="false">E30</f>
        <v>43</v>
      </c>
      <c r="C31" s="32" t="n">
        <f aca="false">$B$6</f>
        <v>3</v>
      </c>
      <c r="D31" s="32" t="n">
        <f aca="false">ROUND(B31*$B$5,0)</f>
        <v>2</v>
      </c>
      <c r="E31" s="32" t="n">
        <f aca="false">B31+C31-D31</f>
        <v>44</v>
      </c>
      <c r="F31" s="31" t="n">
        <f aca="false">E31*$B$4</f>
        <v>5236</v>
      </c>
      <c r="G31" s="31" t="n">
        <f aca="false">F31*(1-$B$7)</f>
        <v>4450.6</v>
      </c>
      <c r="H31" s="31" t="n">
        <f aca="false">H30+G31</f>
        <v>59779.65</v>
      </c>
    </row>
    <row r="32" customFormat="false" ht="15" hidden="false" customHeight="false" outlineLevel="0" collapsed="false">
      <c r="A32" s="36" t="n">
        <v>23</v>
      </c>
      <c r="B32" s="23" t="n">
        <f aca="false">E31</f>
        <v>44</v>
      </c>
      <c r="C32" s="23" t="n">
        <f aca="false">$B$6</f>
        <v>3</v>
      </c>
      <c r="D32" s="23" t="n">
        <f aca="false">ROUND(B32*$B$5,0)</f>
        <v>2</v>
      </c>
      <c r="E32" s="23" t="n">
        <f aca="false">B32+C32-D32</f>
        <v>45</v>
      </c>
      <c r="F32" s="22" t="n">
        <f aca="false">E32*$B$4</f>
        <v>5355</v>
      </c>
      <c r="G32" s="22" t="n">
        <f aca="false">F32*(1-$B$7)</f>
        <v>4551.75</v>
      </c>
      <c r="H32" s="22" t="n">
        <f aca="false">H31+G32</f>
        <v>64331.4</v>
      </c>
    </row>
    <row r="33" customFormat="false" ht="15" hidden="false" customHeight="false" outlineLevel="0" collapsed="false">
      <c r="A33" s="37" t="n">
        <v>24</v>
      </c>
      <c r="B33" s="32" t="n">
        <f aca="false">E32</f>
        <v>45</v>
      </c>
      <c r="C33" s="32" t="n">
        <f aca="false">$B$6</f>
        <v>3</v>
      </c>
      <c r="D33" s="32" t="n">
        <f aca="false">ROUND(B33*$B$5,0)</f>
        <v>2</v>
      </c>
      <c r="E33" s="32" t="n">
        <f aca="false">B33+C33-D33</f>
        <v>46</v>
      </c>
      <c r="F33" s="31" t="n">
        <f aca="false">E33*$B$4</f>
        <v>5474</v>
      </c>
      <c r="G33" s="31" t="n">
        <f aca="false">F33*(1-$B$7)</f>
        <v>4652.9</v>
      </c>
      <c r="H33" s="31" t="n">
        <f aca="false">H32+G33</f>
        <v>68984.3</v>
      </c>
    </row>
    <row r="35" customFormat="false" ht="15" hidden="false" customHeight="false" outlineLevel="0" collapsed="false">
      <c r="A35" s="4" t="s">
        <v>79</v>
      </c>
      <c r="B35" s="22" t="n">
        <f aca="false">G33</f>
        <v>4652.9</v>
      </c>
    </row>
    <row r="36" customFormat="false" ht="15" hidden="false" customHeight="false" outlineLevel="0" collapsed="false">
      <c r="A36" s="4" t="s">
        <v>80</v>
      </c>
      <c r="B36" s="36" t="str">
        <f aca="false">IFERROR(MATCH(TRUE(),INDEX(G10:G33&gt;=Dials!$B$5,0),0),"not within 24 months")</f>
        <v>not within 24 months</v>
      </c>
    </row>
    <row r="37" customFormat="false" ht="15" hidden="false" customHeight="false" outlineLevel="0" collapsed="false">
      <c r="A37" s="4" t="s">
        <v>81</v>
      </c>
      <c r="B37" s="23" t="n">
        <f aca="false">IF($B$5=0,0,$B$6/$B$5)</f>
        <v>75</v>
      </c>
    </row>
    <row r="38" customFormat="false" ht="15" hidden="false" customHeight="false" outlineLevel="0" collapsed="false">
      <c r="A38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16" t="s">
        <v>69</v>
      </c>
    </row>
    <row r="4" customFormat="false" ht="15" hidden="false" customHeight="false" outlineLevel="0" collapsed="false">
      <c r="A4" s="4" t="s">
        <v>56</v>
      </c>
      <c r="B4" s="18" t="n">
        <f aca="false">Dials!B13</f>
        <v>39</v>
      </c>
    </row>
    <row r="5" customFormat="false" ht="15" hidden="false" customHeight="false" outlineLevel="0" collapsed="false">
      <c r="A5" s="4" t="s">
        <v>39</v>
      </c>
      <c r="B5" s="20" t="n">
        <f aca="false">Dials!C13</f>
        <v>0.04</v>
      </c>
    </row>
    <row r="6" customFormat="false" ht="15" hidden="false" customHeight="false" outlineLevel="0" collapsed="false">
      <c r="A6" s="4" t="s">
        <v>70</v>
      </c>
      <c r="B6" s="24" t="n">
        <f aca="false">Dials!E13</f>
        <v>7</v>
      </c>
    </row>
    <row r="7" customFormat="false" ht="15" hidden="false" customHeight="false" outlineLevel="0" collapsed="false">
      <c r="A7" s="4" t="s">
        <v>30</v>
      </c>
      <c r="B7" s="20" t="n">
        <f aca="false">Dials!$B$4</f>
        <v>0.15</v>
      </c>
    </row>
    <row r="9" customFormat="false" ht="23.85" hidden="false" customHeight="false" outlineLevel="0" collapsed="false">
      <c r="A9" s="13" t="s">
        <v>71</v>
      </c>
      <c r="B9" s="13" t="s">
        <v>72</v>
      </c>
      <c r="C9" s="13" t="s">
        <v>73</v>
      </c>
      <c r="D9" s="13" t="s">
        <v>74</v>
      </c>
      <c r="E9" s="13" t="s">
        <v>75</v>
      </c>
      <c r="F9" s="13" t="s">
        <v>76</v>
      </c>
      <c r="G9" s="13" t="s">
        <v>77</v>
      </c>
      <c r="H9" s="13" t="s">
        <v>78</v>
      </c>
    </row>
    <row r="10" customFormat="false" ht="15" hidden="false" customHeight="false" outlineLevel="0" collapsed="false">
      <c r="A10" s="36" t="n">
        <v>1</v>
      </c>
      <c r="B10" s="24" t="n">
        <f aca="false">Dials!$B$6</f>
        <v>0</v>
      </c>
      <c r="C10" s="23" t="n">
        <f aca="false">$B$6</f>
        <v>7</v>
      </c>
      <c r="D10" s="23" t="n">
        <f aca="false">ROUND(B10*$B$5,0)</f>
        <v>0</v>
      </c>
      <c r="E10" s="23" t="n">
        <f aca="false">B10+C10-D10</f>
        <v>7</v>
      </c>
      <c r="F10" s="22" t="n">
        <f aca="false">E10*$B$4</f>
        <v>273</v>
      </c>
      <c r="G10" s="22" t="n">
        <f aca="false">F10*(1-$B$7)</f>
        <v>232.05</v>
      </c>
      <c r="H10" s="22" t="n">
        <f aca="false">G10</f>
        <v>232.05</v>
      </c>
    </row>
    <row r="11" customFormat="false" ht="15" hidden="false" customHeight="false" outlineLevel="0" collapsed="false">
      <c r="A11" s="37" t="n">
        <v>2</v>
      </c>
      <c r="B11" s="32" t="n">
        <f aca="false">E10</f>
        <v>7</v>
      </c>
      <c r="C11" s="32" t="n">
        <f aca="false">$B$6</f>
        <v>7</v>
      </c>
      <c r="D11" s="32" t="n">
        <f aca="false">ROUND(B11*$B$5,0)</f>
        <v>0</v>
      </c>
      <c r="E11" s="32" t="n">
        <f aca="false">B11+C11-D11</f>
        <v>14</v>
      </c>
      <c r="F11" s="31" t="n">
        <f aca="false">E11*$B$4</f>
        <v>546</v>
      </c>
      <c r="G11" s="31" t="n">
        <f aca="false">F11*(1-$B$7)</f>
        <v>464.1</v>
      </c>
      <c r="H11" s="31" t="n">
        <f aca="false">H10+G11</f>
        <v>696.15</v>
      </c>
    </row>
    <row r="12" customFormat="false" ht="15" hidden="false" customHeight="false" outlineLevel="0" collapsed="false">
      <c r="A12" s="36" t="n">
        <v>3</v>
      </c>
      <c r="B12" s="23" t="n">
        <f aca="false">E11</f>
        <v>14</v>
      </c>
      <c r="C12" s="23" t="n">
        <f aca="false">$B$6</f>
        <v>7</v>
      </c>
      <c r="D12" s="23" t="n">
        <f aca="false">ROUND(B12*$B$5,0)</f>
        <v>1</v>
      </c>
      <c r="E12" s="23" t="n">
        <f aca="false">B12+C12-D12</f>
        <v>20</v>
      </c>
      <c r="F12" s="22" t="n">
        <f aca="false">E12*$B$4</f>
        <v>780</v>
      </c>
      <c r="G12" s="22" t="n">
        <f aca="false">F12*(1-$B$7)</f>
        <v>663</v>
      </c>
      <c r="H12" s="22" t="n">
        <f aca="false">H11+G12</f>
        <v>1359.15</v>
      </c>
    </row>
    <row r="13" customFormat="false" ht="15" hidden="false" customHeight="false" outlineLevel="0" collapsed="false">
      <c r="A13" s="37" t="n">
        <v>4</v>
      </c>
      <c r="B13" s="32" t="n">
        <f aca="false">E12</f>
        <v>20</v>
      </c>
      <c r="C13" s="32" t="n">
        <f aca="false">$B$6</f>
        <v>7</v>
      </c>
      <c r="D13" s="32" t="n">
        <f aca="false">ROUND(B13*$B$5,0)</f>
        <v>1</v>
      </c>
      <c r="E13" s="32" t="n">
        <f aca="false">B13+C13-D13</f>
        <v>26</v>
      </c>
      <c r="F13" s="31" t="n">
        <f aca="false">E13*$B$4</f>
        <v>1014</v>
      </c>
      <c r="G13" s="31" t="n">
        <f aca="false">F13*(1-$B$7)</f>
        <v>861.9</v>
      </c>
      <c r="H13" s="31" t="n">
        <f aca="false">H12+G13</f>
        <v>2221.05</v>
      </c>
    </row>
    <row r="14" customFormat="false" ht="15" hidden="false" customHeight="false" outlineLevel="0" collapsed="false">
      <c r="A14" s="36" t="n">
        <v>5</v>
      </c>
      <c r="B14" s="23" t="n">
        <f aca="false">E13</f>
        <v>26</v>
      </c>
      <c r="C14" s="23" t="n">
        <f aca="false">$B$6</f>
        <v>7</v>
      </c>
      <c r="D14" s="23" t="n">
        <f aca="false">ROUND(B14*$B$5,0)</f>
        <v>1</v>
      </c>
      <c r="E14" s="23" t="n">
        <f aca="false">B14+C14-D14</f>
        <v>32</v>
      </c>
      <c r="F14" s="22" t="n">
        <f aca="false">E14*$B$4</f>
        <v>1248</v>
      </c>
      <c r="G14" s="22" t="n">
        <f aca="false">F14*(1-$B$7)</f>
        <v>1060.8</v>
      </c>
      <c r="H14" s="22" t="n">
        <f aca="false">H13+G14</f>
        <v>3281.85</v>
      </c>
    </row>
    <row r="15" customFormat="false" ht="15" hidden="false" customHeight="false" outlineLevel="0" collapsed="false">
      <c r="A15" s="37" t="n">
        <v>6</v>
      </c>
      <c r="B15" s="32" t="n">
        <f aca="false">E14</f>
        <v>32</v>
      </c>
      <c r="C15" s="32" t="n">
        <f aca="false">$B$6</f>
        <v>7</v>
      </c>
      <c r="D15" s="32" t="n">
        <f aca="false">ROUND(B15*$B$5,0)</f>
        <v>1</v>
      </c>
      <c r="E15" s="32" t="n">
        <f aca="false">B15+C15-D15</f>
        <v>38</v>
      </c>
      <c r="F15" s="31" t="n">
        <f aca="false">E15*$B$4</f>
        <v>1482</v>
      </c>
      <c r="G15" s="31" t="n">
        <f aca="false">F15*(1-$B$7)</f>
        <v>1259.7</v>
      </c>
      <c r="H15" s="31" t="n">
        <f aca="false">H14+G15</f>
        <v>4541.55</v>
      </c>
    </row>
    <row r="16" customFormat="false" ht="15" hidden="false" customHeight="false" outlineLevel="0" collapsed="false">
      <c r="A16" s="36" t="n">
        <v>7</v>
      </c>
      <c r="B16" s="23" t="n">
        <f aca="false">E15</f>
        <v>38</v>
      </c>
      <c r="C16" s="23" t="n">
        <f aca="false">$B$6</f>
        <v>7</v>
      </c>
      <c r="D16" s="23" t="n">
        <f aca="false">ROUND(B16*$B$5,0)</f>
        <v>2</v>
      </c>
      <c r="E16" s="23" t="n">
        <f aca="false">B16+C16-D16</f>
        <v>43</v>
      </c>
      <c r="F16" s="22" t="n">
        <f aca="false">E16*$B$4</f>
        <v>1677</v>
      </c>
      <c r="G16" s="22" t="n">
        <f aca="false">F16*(1-$B$7)</f>
        <v>1425.45</v>
      </c>
      <c r="H16" s="22" t="n">
        <f aca="false">H15+G16</f>
        <v>5967</v>
      </c>
    </row>
    <row r="17" customFormat="false" ht="15" hidden="false" customHeight="false" outlineLevel="0" collapsed="false">
      <c r="A17" s="37" t="n">
        <v>8</v>
      </c>
      <c r="B17" s="32" t="n">
        <f aca="false">E16</f>
        <v>43</v>
      </c>
      <c r="C17" s="32" t="n">
        <f aca="false">$B$6</f>
        <v>7</v>
      </c>
      <c r="D17" s="32" t="n">
        <f aca="false">ROUND(B17*$B$5,0)</f>
        <v>2</v>
      </c>
      <c r="E17" s="32" t="n">
        <f aca="false">B17+C17-D17</f>
        <v>48</v>
      </c>
      <c r="F17" s="31" t="n">
        <f aca="false">E17*$B$4</f>
        <v>1872</v>
      </c>
      <c r="G17" s="31" t="n">
        <f aca="false">F17*(1-$B$7)</f>
        <v>1591.2</v>
      </c>
      <c r="H17" s="31" t="n">
        <f aca="false">H16+G17</f>
        <v>7558.2</v>
      </c>
    </row>
    <row r="18" customFormat="false" ht="15" hidden="false" customHeight="false" outlineLevel="0" collapsed="false">
      <c r="A18" s="36" t="n">
        <v>9</v>
      </c>
      <c r="B18" s="23" t="n">
        <f aca="false">E17</f>
        <v>48</v>
      </c>
      <c r="C18" s="23" t="n">
        <f aca="false">$B$6</f>
        <v>7</v>
      </c>
      <c r="D18" s="23" t="n">
        <f aca="false">ROUND(B18*$B$5,0)</f>
        <v>2</v>
      </c>
      <c r="E18" s="23" t="n">
        <f aca="false">B18+C18-D18</f>
        <v>53</v>
      </c>
      <c r="F18" s="22" t="n">
        <f aca="false">E18*$B$4</f>
        <v>2067</v>
      </c>
      <c r="G18" s="22" t="n">
        <f aca="false">F18*(1-$B$7)</f>
        <v>1756.95</v>
      </c>
      <c r="H18" s="22" t="n">
        <f aca="false">H17+G18</f>
        <v>9315.15</v>
      </c>
    </row>
    <row r="19" customFormat="false" ht="15" hidden="false" customHeight="false" outlineLevel="0" collapsed="false">
      <c r="A19" s="37" t="n">
        <v>10</v>
      </c>
      <c r="B19" s="32" t="n">
        <f aca="false">E18</f>
        <v>53</v>
      </c>
      <c r="C19" s="32" t="n">
        <f aca="false">$B$6</f>
        <v>7</v>
      </c>
      <c r="D19" s="32" t="n">
        <f aca="false">ROUND(B19*$B$5,0)</f>
        <v>2</v>
      </c>
      <c r="E19" s="32" t="n">
        <f aca="false">B19+C19-D19</f>
        <v>58</v>
      </c>
      <c r="F19" s="31" t="n">
        <f aca="false">E19*$B$4</f>
        <v>2262</v>
      </c>
      <c r="G19" s="31" t="n">
        <f aca="false">F19*(1-$B$7)</f>
        <v>1922.7</v>
      </c>
      <c r="H19" s="31" t="n">
        <f aca="false">H18+G19</f>
        <v>11237.85</v>
      </c>
    </row>
    <row r="20" customFormat="false" ht="15" hidden="false" customHeight="false" outlineLevel="0" collapsed="false">
      <c r="A20" s="36" t="n">
        <v>11</v>
      </c>
      <c r="B20" s="23" t="n">
        <f aca="false">E19</f>
        <v>58</v>
      </c>
      <c r="C20" s="23" t="n">
        <f aca="false">$B$6</f>
        <v>7</v>
      </c>
      <c r="D20" s="23" t="n">
        <f aca="false">ROUND(B20*$B$5,0)</f>
        <v>2</v>
      </c>
      <c r="E20" s="23" t="n">
        <f aca="false">B20+C20-D20</f>
        <v>63</v>
      </c>
      <c r="F20" s="22" t="n">
        <f aca="false">E20*$B$4</f>
        <v>2457</v>
      </c>
      <c r="G20" s="22" t="n">
        <f aca="false">F20*(1-$B$7)</f>
        <v>2088.45</v>
      </c>
      <c r="H20" s="22" t="n">
        <f aca="false">H19+G20</f>
        <v>13326.3</v>
      </c>
    </row>
    <row r="21" customFormat="false" ht="15" hidden="false" customHeight="false" outlineLevel="0" collapsed="false">
      <c r="A21" s="37" t="n">
        <v>12</v>
      </c>
      <c r="B21" s="32" t="n">
        <f aca="false">E20</f>
        <v>63</v>
      </c>
      <c r="C21" s="32" t="n">
        <f aca="false">$B$6</f>
        <v>7</v>
      </c>
      <c r="D21" s="32" t="n">
        <f aca="false">ROUND(B21*$B$5,0)</f>
        <v>3</v>
      </c>
      <c r="E21" s="32" t="n">
        <f aca="false">B21+C21-D21</f>
        <v>67</v>
      </c>
      <c r="F21" s="31" t="n">
        <f aca="false">E21*$B$4</f>
        <v>2613</v>
      </c>
      <c r="G21" s="31" t="n">
        <f aca="false">F21*(1-$B$7)</f>
        <v>2221.05</v>
      </c>
      <c r="H21" s="31" t="n">
        <f aca="false">H20+G21</f>
        <v>15547.35</v>
      </c>
    </row>
    <row r="22" customFormat="false" ht="15" hidden="false" customHeight="false" outlineLevel="0" collapsed="false">
      <c r="A22" s="36" t="n">
        <v>13</v>
      </c>
      <c r="B22" s="23" t="n">
        <f aca="false">E21</f>
        <v>67</v>
      </c>
      <c r="C22" s="23" t="n">
        <f aca="false">$B$6</f>
        <v>7</v>
      </c>
      <c r="D22" s="23" t="n">
        <f aca="false">ROUND(B22*$B$5,0)</f>
        <v>3</v>
      </c>
      <c r="E22" s="23" t="n">
        <f aca="false">B22+C22-D22</f>
        <v>71</v>
      </c>
      <c r="F22" s="22" t="n">
        <f aca="false">E22*$B$4</f>
        <v>2769</v>
      </c>
      <c r="G22" s="22" t="n">
        <f aca="false">F22*(1-$B$7)</f>
        <v>2353.65</v>
      </c>
      <c r="H22" s="22" t="n">
        <f aca="false">H21+G22</f>
        <v>17901</v>
      </c>
    </row>
    <row r="23" customFormat="false" ht="15" hidden="false" customHeight="false" outlineLevel="0" collapsed="false">
      <c r="A23" s="37" t="n">
        <v>14</v>
      </c>
      <c r="B23" s="32" t="n">
        <f aca="false">E22</f>
        <v>71</v>
      </c>
      <c r="C23" s="32" t="n">
        <f aca="false">$B$6</f>
        <v>7</v>
      </c>
      <c r="D23" s="32" t="n">
        <f aca="false">ROUND(B23*$B$5,0)</f>
        <v>3</v>
      </c>
      <c r="E23" s="32" t="n">
        <f aca="false">B23+C23-D23</f>
        <v>75</v>
      </c>
      <c r="F23" s="31" t="n">
        <f aca="false">E23*$B$4</f>
        <v>2925</v>
      </c>
      <c r="G23" s="31" t="n">
        <f aca="false">F23*(1-$B$7)</f>
        <v>2486.25</v>
      </c>
      <c r="H23" s="31" t="n">
        <f aca="false">H22+G23</f>
        <v>20387.25</v>
      </c>
    </row>
    <row r="24" customFormat="false" ht="15" hidden="false" customHeight="false" outlineLevel="0" collapsed="false">
      <c r="A24" s="36" t="n">
        <v>15</v>
      </c>
      <c r="B24" s="23" t="n">
        <f aca="false">E23</f>
        <v>75</v>
      </c>
      <c r="C24" s="23" t="n">
        <f aca="false">$B$6</f>
        <v>7</v>
      </c>
      <c r="D24" s="23" t="n">
        <f aca="false">ROUND(B24*$B$5,0)</f>
        <v>3</v>
      </c>
      <c r="E24" s="23" t="n">
        <f aca="false">B24+C24-D24</f>
        <v>79</v>
      </c>
      <c r="F24" s="22" t="n">
        <f aca="false">E24*$B$4</f>
        <v>3081</v>
      </c>
      <c r="G24" s="22" t="n">
        <f aca="false">F24*(1-$B$7)</f>
        <v>2618.85</v>
      </c>
      <c r="H24" s="22" t="n">
        <f aca="false">H23+G24</f>
        <v>23006.1</v>
      </c>
    </row>
    <row r="25" customFormat="false" ht="15" hidden="false" customHeight="false" outlineLevel="0" collapsed="false">
      <c r="A25" s="37" t="n">
        <v>16</v>
      </c>
      <c r="B25" s="32" t="n">
        <f aca="false">E24</f>
        <v>79</v>
      </c>
      <c r="C25" s="32" t="n">
        <f aca="false">$B$6</f>
        <v>7</v>
      </c>
      <c r="D25" s="32" t="n">
        <f aca="false">ROUND(B25*$B$5,0)</f>
        <v>3</v>
      </c>
      <c r="E25" s="32" t="n">
        <f aca="false">B25+C25-D25</f>
        <v>83</v>
      </c>
      <c r="F25" s="31" t="n">
        <f aca="false">E25*$B$4</f>
        <v>3237</v>
      </c>
      <c r="G25" s="31" t="n">
        <f aca="false">F25*(1-$B$7)</f>
        <v>2751.45</v>
      </c>
      <c r="H25" s="31" t="n">
        <f aca="false">H24+G25</f>
        <v>25757.55</v>
      </c>
    </row>
    <row r="26" customFormat="false" ht="15" hidden="false" customHeight="false" outlineLevel="0" collapsed="false">
      <c r="A26" s="36" t="n">
        <v>17</v>
      </c>
      <c r="B26" s="23" t="n">
        <f aca="false">E25</f>
        <v>83</v>
      </c>
      <c r="C26" s="23" t="n">
        <f aca="false">$B$6</f>
        <v>7</v>
      </c>
      <c r="D26" s="23" t="n">
        <f aca="false">ROUND(B26*$B$5,0)</f>
        <v>3</v>
      </c>
      <c r="E26" s="23" t="n">
        <f aca="false">B26+C26-D26</f>
        <v>87</v>
      </c>
      <c r="F26" s="22" t="n">
        <f aca="false">E26*$B$4</f>
        <v>3393</v>
      </c>
      <c r="G26" s="22" t="n">
        <f aca="false">F26*(1-$B$7)</f>
        <v>2884.05</v>
      </c>
      <c r="H26" s="22" t="n">
        <f aca="false">H25+G26</f>
        <v>28641.6</v>
      </c>
    </row>
    <row r="27" customFormat="false" ht="15" hidden="false" customHeight="false" outlineLevel="0" collapsed="false">
      <c r="A27" s="37" t="n">
        <v>18</v>
      </c>
      <c r="B27" s="32" t="n">
        <f aca="false">E26</f>
        <v>87</v>
      </c>
      <c r="C27" s="32" t="n">
        <f aca="false">$B$6</f>
        <v>7</v>
      </c>
      <c r="D27" s="32" t="n">
        <f aca="false">ROUND(B27*$B$5,0)</f>
        <v>3</v>
      </c>
      <c r="E27" s="32" t="n">
        <f aca="false">B27+C27-D27</f>
        <v>91</v>
      </c>
      <c r="F27" s="31" t="n">
        <f aca="false">E27*$B$4</f>
        <v>3549</v>
      </c>
      <c r="G27" s="31" t="n">
        <f aca="false">F27*(1-$B$7)</f>
        <v>3016.65</v>
      </c>
      <c r="H27" s="31" t="n">
        <f aca="false">H26+G27</f>
        <v>31658.25</v>
      </c>
    </row>
    <row r="28" customFormat="false" ht="15" hidden="false" customHeight="false" outlineLevel="0" collapsed="false">
      <c r="A28" s="36" t="n">
        <v>19</v>
      </c>
      <c r="B28" s="23" t="n">
        <f aca="false">E27</f>
        <v>91</v>
      </c>
      <c r="C28" s="23" t="n">
        <f aca="false">$B$6</f>
        <v>7</v>
      </c>
      <c r="D28" s="23" t="n">
        <f aca="false">ROUND(B28*$B$5,0)</f>
        <v>4</v>
      </c>
      <c r="E28" s="23" t="n">
        <f aca="false">B28+C28-D28</f>
        <v>94</v>
      </c>
      <c r="F28" s="22" t="n">
        <f aca="false">E28*$B$4</f>
        <v>3666</v>
      </c>
      <c r="G28" s="22" t="n">
        <f aca="false">F28*(1-$B$7)</f>
        <v>3116.1</v>
      </c>
      <c r="H28" s="22" t="n">
        <f aca="false">H27+G28</f>
        <v>34774.35</v>
      </c>
    </row>
    <row r="29" customFormat="false" ht="15" hidden="false" customHeight="false" outlineLevel="0" collapsed="false">
      <c r="A29" s="37" t="n">
        <v>20</v>
      </c>
      <c r="B29" s="32" t="n">
        <f aca="false">E28</f>
        <v>94</v>
      </c>
      <c r="C29" s="32" t="n">
        <f aca="false">$B$6</f>
        <v>7</v>
      </c>
      <c r="D29" s="32" t="n">
        <f aca="false">ROUND(B29*$B$5,0)</f>
        <v>4</v>
      </c>
      <c r="E29" s="32" t="n">
        <f aca="false">B29+C29-D29</f>
        <v>97</v>
      </c>
      <c r="F29" s="31" t="n">
        <f aca="false">E29*$B$4</f>
        <v>3783</v>
      </c>
      <c r="G29" s="31" t="n">
        <f aca="false">F29*(1-$B$7)</f>
        <v>3215.55</v>
      </c>
      <c r="H29" s="31" t="n">
        <f aca="false">H28+G29</f>
        <v>37989.9</v>
      </c>
    </row>
    <row r="30" customFormat="false" ht="15" hidden="false" customHeight="false" outlineLevel="0" collapsed="false">
      <c r="A30" s="36" t="n">
        <v>21</v>
      </c>
      <c r="B30" s="23" t="n">
        <f aca="false">E29</f>
        <v>97</v>
      </c>
      <c r="C30" s="23" t="n">
        <f aca="false">$B$6</f>
        <v>7</v>
      </c>
      <c r="D30" s="23" t="n">
        <f aca="false">ROUND(B30*$B$5,0)</f>
        <v>4</v>
      </c>
      <c r="E30" s="23" t="n">
        <f aca="false">B30+C30-D30</f>
        <v>100</v>
      </c>
      <c r="F30" s="22" t="n">
        <f aca="false">E30*$B$4</f>
        <v>3900</v>
      </c>
      <c r="G30" s="22" t="n">
        <f aca="false">F30*(1-$B$7)</f>
        <v>3315</v>
      </c>
      <c r="H30" s="22" t="n">
        <f aca="false">H29+G30</f>
        <v>41304.9</v>
      </c>
    </row>
    <row r="31" customFormat="false" ht="15" hidden="false" customHeight="false" outlineLevel="0" collapsed="false">
      <c r="A31" s="37" t="n">
        <v>22</v>
      </c>
      <c r="B31" s="32" t="n">
        <f aca="false">E30</f>
        <v>100</v>
      </c>
      <c r="C31" s="32" t="n">
        <f aca="false">$B$6</f>
        <v>7</v>
      </c>
      <c r="D31" s="32" t="n">
        <f aca="false">ROUND(B31*$B$5,0)</f>
        <v>4</v>
      </c>
      <c r="E31" s="32" t="n">
        <f aca="false">B31+C31-D31</f>
        <v>103</v>
      </c>
      <c r="F31" s="31" t="n">
        <f aca="false">E31*$B$4</f>
        <v>4017</v>
      </c>
      <c r="G31" s="31" t="n">
        <f aca="false">F31*(1-$B$7)</f>
        <v>3414.45</v>
      </c>
      <c r="H31" s="31" t="n">
        <f aca="false">H30+G31</f>
        <v>44719.35</v>
      </c>
    </row>
    <row r="32" customFormat="false" ht="15" hidden="false" customHeight="false" outlineLevel="0" collapsed="false">
      <c r="A32" s="36" t="n">
        <v>23</v>
      </c>
      <c r="B32" s="23" t="n">
        <f aca="false">E31</f>
        <v>103</v>
      </c>
      <c r="C32" s="23" t="n">
        <f aca="false">$B$6</f>
        <v>7</v>
      </c>
      <c r="D32" s="23" t="n">
        <f aca="false">ROUND(B32*$B$5,0)</f>
        <v>4</v>
      </c>
      <c r="E32" s="23" t="n">
        <f aca="false">B32+C32-D32</f>
        <v>106</v>
      </c>
      <c r="F32" s="22" t="n">
        <f aca="false">E32*$B$4</f>
        <v>4134</v>
      </c>
      <c r="G32" s="22" t="n">
        <f aca="false">F32*(1-$B$7)</f>
        <v>3513.9</v>
      </c>
      <c r="H32" s="22" t="n">
        <f aca="false">H31+G32</f>
        <v>48233.25</v>
      </c>
    </row>
    <row r="33" customFormat="false" ht="15" hidden="false" customHeight="false" outlineLevel="0" collapsed="false">
      <c r="A33" s="37" t="n">
        <v>24</v>
      </c>
      <c r="B33" s="32" t="n">
        <f aca="false">E32</f>
        <v>106</v>
      </c>
      <c r="C33" s="32" t="n">
        <f aca="false">$B$6</f>
        <v>7</v>
      </c>
      <c r="D33" s="32" t="n">
        <f aca="false">ROUND(B33*$B$5,0)</f>
        <v>4</v>
      </c>
      <c r="E33" s="32" t="n">
        <f aca="false">B33+C33-D33</f>
        <v>109</v>
      </c>
      <c r="F33" s="31" t="n">
        <f aca="false">E33*$B$4</f>
        <v>4251</v>
      </c>
      <c r="G33" s="31" t="n">
        <f aca="false">F33*(1-$B$7)</f>
        <v>3613.35</v>
      </c>
      <c r="H33" s="31" t="n">
        <f aca="false">H32+G33</f>
        <v>51846.6</v>
      </c>
    </row>
    <row r="35" customFormat="false" ht="15" hidden="false" customHeight="false" outlineLevel="0" collapsed="false">
      <c r="A35" s="4" t="s">
        <v>79</v>
      </c>
      <c r="B35" s="22" t="n">
        <f aca="false">G33</f>
        <v>3613.35</v>
      </c>
    </row>
    <row r="36" customFormat="false" ht="15" hidden="false" customHeight="false" outlineLevel="0" collapsed="false">
      <c r="A36" s="4" t="s">
        <v>80</v>
      </c>
      <c r="B36" s="36" t="str">
        <f aca="false">IFERROR(MATCH(TRUE(),INDEX(G10:G33&gt;=Dials!$B$5,0),0),"not within 24 months")</f>
        <v>not within 24 months</v>
      </c>
    </row>
    <row r="37" customFormat="false" ht="15" hidden="false" customHeight="false" outlineLevel="0" collapsed="false">
      <c r="A37" s="4" t="s">
        <v>81</v>
      </c>
      <c r="B37" s="23" t="n">
        <f aca="false">IF($B$5=0,0,$B$6/$B$5)</f>
        <v>175</v>
      </c>
    </row>
    <row r="38" customFormat="false" ht="15" hidden="false" customHeight="false" outlineLevel="0" collapsed="false">
      <c r="A38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16" t="s">
        <v>69</v>
      </c>
    </row>
    <row r="4" customFormat="false" ht="15" hidden="false" customHeight="false" outlineLevel="0" collapsed="false">
      <c r="A4" s="4" t="s">
        <v>56</v>
      </c>
      <c r="B4" s="18" t="n">
        <f aca="false">Dials!B14</f>
        <v>89</v>
      </c>
    </row>
    <row r="5" customFormat="false" ht="15" hidden="false" customHeight="false" outlineLevel="0" collapsed="false">
      <c r="A5" s="4" t="s">
        <v>39</v>
      </c>
      <c r="B5" s="20" t="n">
        <f aca="false">Dials!C14</f>
        <v>0.025</v>
      </c>
    </row>
    <row r="6" customFormat="false" ht="15" hidden="false" customHeight="false" outlineLevel="0" collapsed="false">
      <c r="A6" s="4" t="s">
        <v>70</v>
      </c>
      <c r="B6" s="24" t="n">
        <f aca="false">Dials!E14</f>
        <v>3</v>
      </c>
    </row>
    <row r="7" customFormat="false" ht="15" hidden="false" customHeight="false" outlineLevel="0" collapsed="false">
      <c r="A7" s="4" t="s">
        <v>30</v>
      </c>
      <c r="B7" s="20" t="n">
        <f aca="false">Dials!$B$4</f>
        <v>0.15</v>
      </c>
    </row>
    <row r="9" customFormat="false" ht="23.85" hidden="false" customHeight="false" outlineLevel="0" collapsed="false">
      <c r="A9" s="13" t="s">
        <v>71</v>
      </c>
      <c r="B9" s="13" t="s">
        <v>72</v>
      </c>
      <c r="C9" s="13" t="s">
        <v>73</v>
      </c>
      <c r="D9" s="13" t="s">
        <v>74</v>
      </c>
      <c r="E9" s="13" t="s">
        <v>75</v>
      </c>
      <c r="F9" s="13" t="s">
        <v>76</v>
      </c>
      <c r="G9" s="13" t="s">
        <v>77</v>
      </c>
      <c r="H9" s="13" t="s">
        <v>78</v>
      </c>
    </row>
    <row r="10" customFormat="false" ht="15" hidden="false" customHeight="false" outlineLevel="0" collapsed="false">
      <c r="A10" s="36" t="n">
        <v>1</v>
      </c>
      <c r="B10" s="24" t="n">
        <f aca="false">Dials!$B$6</f>
        <v>0</v>
      </c>
      <c r="C10" s="23" t="n">
        <f aca="false">$B$6</f>
        <v>3</v>
      </c>
      <c r="D10" s="23" t="n">
        <f aca="false">ROUND(B10*$B$5,0)</f>
        <v>0</v>
      </c>
      <c r="E10" s="23" t="n">
        <f aca="false">B10+C10-D10</f>
        <v>3</v>
      </c>
      <c r="F10" s="22" t="n">
        <f aca="false">E10*$B$4</f>
        <v>267</v>
      </c>
      <c r="G10" s="22" t="n">
        <f aca="false">F10*(1-$B$7)</f>
        <v>226.95</v>
      </c>
      <c r="H10" s="22" t="n">
        <f aca="false">G10</f>
        <v>226.95</v>
      </c>
    </row>
    <row r="11" customFormat="false" ht="15" hidden="false" customHeight="false" outlineLevel="0" collapsed="false">
      <c r="A11" s="37" t="n">
        <v>2</v>
      </c>
      <c r="B11" s="32" t="n">
        <f aca="false">E10</f>
        <v>3</v>
      </c>
      <c r="C11" s="32" t="n">
        <f aca="false">$B$6</f>
        <v>3</v>
      </c>
      <c r="D11" s="32" t="n">
        <f aca="false">ROUND(B11*$B$5,0)</f>
        <v>0</v>
      </c>
      <c r="E11" s="32" t="n">
        <f aca="false">B11+C11-D11</f>
        <v>6</v>
      </c>
      <c r="F11" s="31" t="n">
        <f aca="false">E11*$B$4</f>
        <v>534</v>
      </c>
      <c r="G11" s="31" t="n">
        <f aca="false">F11*(1-$B$7)</f>
        <v>453.9</v>
      </c>
      <c r="H11" s="31" t="n">
        <f aca="false">H10+G11</f>
        <v>680.85</v>
      </c>
    </row>
    <row r="12" customFormat="false" ht="15" hidden="false" customHeight="false" outlineLevel="0" collapsed="false">
      <c r="A12" s="36" t="n">
        <v>3</v>
      </c>
      <c r="B12" s="23" t="n">
        <f aca="false">E11</f>
        <v>6</v>
      </c>
      <c r="C12" s="23" t="n">
        <f aca="false">$B$6</f>
        <v>3</v>
      </c>
      <c r="D12" s="23" t="n">
        <f aca="false">ROUND(B12*$B$5,0)</f>
        <v>0</v>
      </c>
      <c r="E12" s="23" t="n">
        <f aca="false">B12+C12-D12</f>
        <v>9</v>
      </c>
      <c r="F12" s="22" t="n">
        <f aca="false">E12*$B$4</f>
        <v>801</v>
      </c>
      <c r="G12" s="22" t="n">
        <f aca="false">F12*(1-$B$7)</f>
        <v>680.85</v>
      </c>
      <c r="H12" s="22" t="n">
        <f aca="false">H11+G12</f>
        <v>1361.7</v>
      </c>
    </row>
    <row r="13" customFormat="false" ht="15" hidden="false" customHeight="false" outlineLevel="0" collapsed="false">
      <c r="A13" s="37" t="n">
        <v>4</v>
      </c>
      <c r="B13" s="32" t="n">
        <f aca="false">E12</f>
        <v>9</v>
      </c>
      <c r="C13" s="32" t="n">
        <f aca="false">$B$6</f>
        <v>3</v>
      </c>
      <c r="D13" s="32" t="n">
        <f aca="false">ROUND(B13*$B$5,0)</f>
        <v>0</v>
      </c>
      <c r="E13" s="32" t="n">
        <f aca="false">B13+C13-D13</f>
        <v>12</v>
      </c>
      <c r="F13" s="31" t="n">
        <f aca="false">E13*$B$4</f>
        <v>1068</v>
      </c>
      <c r="G13" s="31" t="n">
        <f aca="false">F13*(1-$B$7)</f>
        <v>907.8</v>
      </c>
      <c r="H13" s="31" t="n">
        <f aca="false">H12+G13</f>
        <v>2269.5</v>
      </c>
    </row>
    <row r="14" customFormat="false" ht="15" hidden="false" customHeight="false" outlineLevel="0" collapsed="false">
      <c r="A14" s="36" t="n">
        <v>5</v>
      </c>
      <c r="B14" s="23" t="n">
        <f aca="false">E13</f>
        <v>12</v>
      </c>
      <c r="C14" s="23" t="n">
        <f aca="false">$B$6</f>
        <v>3</v>
      </c>
      <c r="D14" s="23" t="n">
        <f aca="false">ROUND(B14*$B$5,0)</f>
        <v>0</v>
      </c>
      <c r="E14" s="23" t="n">
        <f aca="false">B14+C14-D14</f>
        <v>15</v>
      </c>
      <c r="F14" s="22" t="n">
        <f aca="false">E14*$B$4</f>
        <v>1335</v>
      </c>
      <c r="G14" s="22" t="n">
        <f aca="false">F14*(1-$B$7)</f>
        <v>1134.75</v>
      </c>
      <c r="H14" s="22" t="n">
        <f aca="false">H13+G14</f>
        <v>3404.25</v>
      </c>
    </row>
    <row r="15" customFormat="false" ht="15" hidden="false" customHeight="false" outlineLevel="0" collapsed="false">
      <c r="A15" s="37" t="n">
        <v>6</v>
      </c>
      <c r="B15" s="32" t="n">
        <f aca="false">E14</f>
        <v>15</v>
      </c>
      <c r="C15" s="32" t="n">
        <f aca="false">$B$6</f>
        <v>3</v>
      </c>
      <c r="D15" s="32" t="n">
        <f aca="false">ROUND(B15*$B$5,0)</f>
        <v>0</v>
      </c>
      <c r="E15" s="32" t="n">
        <f aca="false">B15+C15-D15</f>
        <v>18</v>
      </c>
      <c r="F15" s="31" t="n">
        <f aca="false">E15*$B$4</f>
        <v>1602</v>
      </c>
      <c r="G15" s="31" t="n">
        <f aca="false">F15*(1-$B$7)</f>
        <v>1361.7</v>
      </c>
      <c r="H15" s="31" t="n">
        <f aca="false">H14+G15</f>
        <v>4765.95</v>
      </c>
    </row>
    <row r="16" customFormat="false" ht="15" hidden="false" customHeight="false" outlineLevel="0" collapsed="false">
      <c r="A16" s="36" t="n">
        <v>7</v>
      </c>
      <c r="B16" s="23" t="n">
        <f aca="false">E15</f>
        <v>18</v>
      </c>
      <c r="C16" s="23" t="n">
        <f aca="false">$B$6</f>
        <v>3</v>
      </c>
      <c r="D16" s="23" t="n">
        <f aca="false">ROUND(B16*$B$5,0)</f>
        <v>0</v>
      </c>
      <c r="E16" s="23" t="n">
        <f aca="false">B16+C16-D16</f>
        <v>21</v>
      </c>
      <c r="F16" s="22" t="n">
        <f aca="false">E16*$B$4</f>
        <v>1869</v>
      </c>
      <c r="G16" s="22" t="n">
        <f aca="false">F16*(1-$B$7)</f>
        <v>1588.65</v>
      </c>
      <c r="H16" s="22" t="n">
        <f aca="false">H15+G16</f>
        <v>6354.6</v>
      </c>
    </row>
    <row r="17" customFormat="false" ht="15" hidden="false" customHeight="false" outlineLevel="0" collapsed="false">
      <c r="A17" s="37" t="n">
        <v>8</v>
      </c>
      <c r="B17" s="32" t="n">
        <f aca="false">E16</f>
        <v>21</v>
      </c>
      <c r="C17" s="32" t="n">
        <f aca="false">$B$6</f>
        <v>3</v>
      </c>
      <c r="D17" s="32" t="n">
        <f aca="false">ROUND(B17*$B$5,0)</f>
        <v>1</v>
      </c>
      <c r="E17" s="32" t="n">
        <f aca="false">B17+C17-D17</f>
        <v>23</v>
      </c>
      <c r="F17" s="31" t="n">
        <f aca="false">E17*$B$4</f>
        <v>2047</v>
      </c>
      <c r="G17" s="31" t="n">
        <f aca="false">F17*(1-$B$7)</f>
        <v>1739.95</v>
      </c>
      <c r="H17" s="31" t="n">
        <f aca="false">H16+G17</f>
        <v>8094.55</v>
      </c>
    </row>
    <row r="18" customFormat="false" ht="15" hidden="false" customHeight="false" outlineLevel="0" collapsed="false">
      <c r="A18" s="36" t="n">
        <v>9</v>
      </c>
      <c r="B18" s="23" t="n">
        <f aca="false">E17</f>
        <v>23</v>
      </c>
      <c r="C18" s="23" t="n">
        <f aca="false">$B$6</f>
        <v>3</v>
      </c>
      <c r="D18" s="23" t="n">
        <f aca="false">ROUND(B18*$B$5,0)</f>
        <v>1</v>
      </c>
      <c r="E18" s="23" t="n">
        <f aca="false">B18+C18-D18</f>
        <v>25</v>
      </c>
      <c r="F18" s="22" t="n">
        <f aca="false">E18*$B$4</f>
        <v>2225</v>
      </c>
      <c r="G18" s="22" t="n">
        <f aca="false">F18*(1-$B$7)</f>
        <v>1891.25</v>
      </c>
      <c r="H18" s="22" t="n">
        <f aca="false">H17+G18</f>
        <v>9985.8</v>
      </c>
    </row>
    <row r="19" customFormat="false" ht="15" hidden="false" customHeight="false" outlineLevel="0" collapsed="false">
      <c r="A19" s="37" t="n">
        <v>10</v>
      </c>
      <c r="B19" s="32" t="n">
        <f aca="false">E18</f>
        <v>25</v>
      </c>
      <c r="C19" s="32" t="n">
        <f aca="false">$B$6</f>
        <v>3</v>
      </c>
      <c r="D19" s="32" t="n">
        <f aca="false">ROUND(B19*$B$5,0)</f>
        <v>1</v>
      </c>
      <c r="E19" s="32" t="n">
        <f aca="false">B19+C19-D19</f>
        <v>27</v>
      </c>
      <c r="F19" s="31" t="n">
        <f aca="false">E19*$B$4</f>
        <v>2403</v>
      </c>
      <c r="G19" s="31" t="n">
        <f aca="false">F19*(1-$B$7)</f>
        <v>2042.55</v>
      </c>
      <c r="H19" s="31" t="n">
        <f aca="false">H18+G19</f>
        <v>12028.35</v>
      </c>
    </row>
    <row r="20" customFormat="false" ht="15" hidden="false" customHeight="false" outlineLevel="0" collapsed="false">
      <c r="A20" s="36" t="n">
        <v>11</v>
      </c>
      <c r="B20" s="23" t="n">
        <f aca="false">E19</f>
        <v>27</v>
      </c>
      <c r="C20" s="23" t="n">
        <f aca="false">$B$6</f>
        <v>3</v>
      </c>
      <c r="D20" s="23" t="n">
        <f aca="false">ROUND(B20*$B$5,0)</f>
        <v>1</v>
      </c>
      <c r="E20" s="23" t="n">
        <f aca="false">B20+C20-D20</f>
        <v>29</v>
      </c>
      <c r="F20" s="22" t="n">
        <f aca="false">E20*$B$4</f>
        <v>2581</v>
      </c>
      <c r="G20" s="22" t="n">
        <f aca="false">F20*(1-$B$7)</f>
        <v>2193.85</v>
      </c>
      <c r="H20" s="22" t="n">
        <f aca="false">H19+G20</f>
        <v>14222.2</v>
      </c>
    </row>
    <row r="21" customFormat="false" ht="15" hidden="false" customHeight="false" outlineLevel="0" collapsed="false">
      <c r="A21" s="37" t="n">
        <v>12</v>
      </c>
      <c r="B21" s="32" t="n">
        <f aca="false">E20</f>
        <v>29</v>
      </c>
      <c r="C21" s="32" t="n">
        <f aca="false">$B$6</f>
        <v>3</v>
      </c>
      <c r="D21" s="32" t="n">
        <f aca="false">ROUND(B21*$B$5,0)</f>
        <v>1</v>
      </c>
      <c r="E21" s="32" t="n">
        <f aca="false">B21+C21-D21</f>
        <v>31</v>
      </c>
      <c r="F21" s="31" t="n">
        <f aca="false">E21*$B$4</f>
        <v>2759</v>
      </c>
      <c r="G21" s="31" t="n">
        <f aca="false">F21*(1-$B$7)</f>
        <v>2345.15</v>
      </c>
      <c r="H21" s="31" t="n">
        <f aca="false">H20+G21</f>
        <v>16567.35</v>
      </c>
    </row>
    <row r="22" customFormat="false" ht="15" hidden="false" customHeight="false" outlineLevel="0" collapsed="false">
      <c r="A22" s="36" t="n">
        <v>13</v>
      </c>
      <c r="B22" s="23" t="n">
        <f aca="false">E21</f>
        <v>31</v>
      </c>
      <c r="C22" s="23" t="n">
        <f aca="false">$B$6</f>
        <v>3</v>
      </c>
      <c r="D22" s="23" t="n">
        <f aca="false">ROUND(B22*$B$5,0)</f>
        <v>1</v>
      </c>
      <c r="E22" s="23" t="n">
        <f aca="false">B22+C22-D22</f>
        <v>33</v>
      </c>
      <c r="F22" s="22" t="n">
        <f aca="false">E22*$B$4</f>
        <v>2937</v>
      </c>
      <c r="G22" s="22" t="n">
        <f aca="false">F22*(1-$B$7)</f>
        <v>2496.45</v>
      </c>
      <c r="H22" s="22" t="n">
        <f aca="false">H21+G22</f>
        <v>19063.8</v>
      </c>
    </row>
    <row r="23" customFormat="false" ht="15" hidden="false" customHeight="false" outlineLevel="0" collapsed="false">
      <c r="A23" s="37" t="n">
        <v>14</v>
      </c>
      <c r="B23" s="32" t="n">
        <f aca="false">E22</f>
        <v>33</v>
      </c>
      <c r="C23" s="32" t="n">
        <f aca="false">$B$6</f>
        <v>3</v>
      </c>
      <c r="D23" s="32" t="n">
        <f aca="false">ROUND(B23*$B$5,0)</f>
        <v>1</v>
      </c>
      <c r="E23" s="32" t="n">
        <f aca="false">B23+C23-D23</f>
        <v>35</v>
      </c>
      <c r="F23" s="31" t="n">
        <f aca="false">E23*$B$4</f>
        <v>3115</v>
      </c>
      <c r="G23" s="31" t="n">
        <f aca="false">F23*(1-$B$7)</f>
        <v>2647.75</v>
      </c>
      <c r="H23" s="31" t="n">
        <f aca="false">H22+G23</f>
        <v>21711.55</v>
      </c>
    </row>
    <row r="24" customFormat="false" ht="15" hidden="false" customHeight="false" outlineLevel="0" collapsed="false">
      <c r="A24" s="36" t="n">
        <v>15</v>
      </c>
      <c r="B24" s="23" t="n">
        <f aca="false">E23</f>
        <v>35</v>
      </c>
      <c r="C24" s="23" t="n">
        <f aca="false">$B$6</f>
        <v>3</v>
      </c>
      <c r="D24" s="23" t="n">
        <f aca="false">ROUND(B24*$B$5,0)</f>
        <v>1</v>
      </c>
      <c r="E24" s="23" t="n">
        <f aca="false">B24+C24-D24</f>
        <v>37</v>
      </c>
      <c r="F24" s="22" t="n">
        <f aca="false">E24*$B$4</f>
        <v>3293</v>
      </c>
      <c r="G24" s="22" t="n">
        <f aca="false">F24*(1-$B$7)</f>
        <v>2799.05</v>
      </c>
      <c r="H24" s="22" t="n">
        <f aca="false">H23+G24</f>
        <v>24510.6</v>
      </c>
    </row>
    <row r="25" customFormat="false" ht="15" hidden="false" customHeight="false" outlineLevel="0" collapsed="false">
      <c r="A25" s="37" t="n">
        <v>16</v>
      </c>
      <c r="B25" s="32" t="n">
        <f aca="false">E24</f>
        <v>37</v>
      </c>
      <c r="C25" s="32" t="n">
        <f aca="false">$B$6</f>
        <v>3</v>
      </c>
      <c r="D25" s="32" t="n">
        <f aca="false">ROUND(B25*$B$5,0)</f>
        <v>1</v>
      </c>
      <c r="E25" s="32" t="n">
        <f aca="false">B25+C25-D25</f>
        <v>39</v>
      </c>
      <c r="F25" s="31" t="n">
        <f aca="false">E25*$B$4</f>
        <v>3471</v>
      </c>
      <c r="G25" s="31" t="n">
        <f aca="false">F25*(1-$B$7)</f>
        <v>2950.35</v>
      </c>
      <c r="H25" s="31" t="n">
        <f aca="false">H24+G25</f>
        <v>27460.95</v>
      </c>
    </row>
    <row r="26" customFormat="false" ht="15" hidden="false" customHeight="false" outlineLevel="0" collapsed="false">
      <c r="A26" s="36" t="n">
        <v>17</v>
      </c>
      <c r="B26" s="23" t="n">
        <f aca="false">E25</f>
        <v>39</v>
      </c>
      <c r="C26" s="23" t="n">
        <f aca="false">$B$6</f>
        <v>3</v>
      </c>
      <c r="D26" s="23" t="n">
        <f aca="false">ROUND(B26*$B$5,0)</f>
        <v>1</v>
      </c>
      <c r="E26" s="23" t="n">
        <f aca="false">B26+C26-D26</f>
        <v>41</v>
      </c>
      <c r="F26" s="22" t="n">
        <f aca="false">E26*$B$4</f>
        <v>3649</v>
      </c>
      <c r="G26" s="22" t="n">
        <f aca="false">F26*(1-$B$7)</f>
        <v>3101.65</v>
      </c>
      <c r="H26" s="22" t="n">
        <f aca="false">H25+G26</f>
        <v>30562.6</v>
      </c>
    </row>
    <row r="27" customFormat="false" ht="15" hidden="false" customHeight="false" outlineLevel="0" collapsed="false">
      <c r="A27" s="37" t="n">
        <v>18</v>
      </c>
      <c r="B27" s="32" t="n">
        <f aca="false">E26</f>
        <v>41</v>
      </c>
      <c r="C27" s="32" t="n">
        <f aca="false">$B$6</f>
        <v>3</v>
      </c>
      <c r="D27" s="32" t="n">
        <f aca="false">ROUND(B27*$B$5,0)</f>
        <v>1</v>
      </c>
      <c r="E27" s="32" t="n">
        <f aca="false">B27+C27-D27</f>
        <v>43</v>
      </c>
      <c r="F27" s="31" t="n">
        <f aca="false">E27*$B$4</f>
        <v>3827</v>
      </c>
      <c r="G27" s="31" t="n">
        <f aca="false">F27*(1-$B$7)</f>
        <v>3252.95</v>
      </c>
      <c r="H27" s="31" t="n">
        <f aca="false">H26+G27</f>
        <v>33815.55</v>
      </c>
    </row>
    <row r="28" customFormat="false" ht="15" hidden="false" customHeight="false" outlineLevel="0" collapsed="false">
      <c r="A28" s="36" t="n">
        <v>19</v>
      </c>
      <c r="B28" s="23" t="n">
        <f aca="false">E27</f>
        <v>43</v>
      </c>
      <c r="C28" s="23" t="n">
        <f aca="false">$B$6</f>
        <v>3</v>
      </c>
      <c r="D28" s="23" t="n">
        <f aca="false">ROUND(B28*$B$5,0)</f>
        <v>1</v>
      </c>
      <c r="E28" s="23" t="n">
        <f aca="false">B28+C28-D28</f>
        <v>45</v>
      </c>
      <c r="F28" s="22" t="n">
        <f aca="false">E28*$B$4</f>
        <v>4005</v>
      </c>
      <c r="G28" s="22" t="n">
        <f aca="false">F28*(1-$B$7)</f>
        <v>3404.25</v>
      </c>
      <c r="H28" s="22" t="n">
        <f aca="false">H27+G28</f>
        <v>37219.8</v>
      </c>
    </row>
    <row r="29" customFormat="false" ht="15" hidden="false" customHeight="false" outlineLevel="0" collapsed="false">
      <c r="A29" s="37" t="n">
        <v>20</v>
      </c>
      <c r="B29" s="32" t="n">
        <f aca="false">E28</f>
        <v>45</v>
      </c>
      <c r="C29" s="32" t="n">
        <f aca="false">$B$6</f>
        <v>3</v>
      </c>
      <c r="D29" s="32" t="n">
        <f aca="false">ROUND(B29*$B$5,0)</f>
        <v>1</v>
      </c>
      <c r="E29" s="32" t="n">
        <f aca="false">B29+C29-D29</f>
        <v>47</v>
      </c>
      <c r="F29" s="31" t="n">
        <f aca="false">E29*$B$4</f>
        <v>4183</v>
      </c>
      <c r="G29" s="31" t="n">
        <f aca="false">F29*(1-$B$7)</f>
        <v>3555.55</v>
      </c>
      <c r="H29" s="31" t="n">
        <f aca="false">H28+G29</f>
        <v>40775.35</v>
      </c>
    </row>
    <row r="30" customFormat="false" ht="15" hidden="false" customHeight="false" outlineLevel="0" collapsed="false">
      <c r="A30" s="36" t="n">
        <v>21</v>
      </c>
      <c r="B30" s="23" t="n">
        <f aca="false">E29</f>
        <v>47</v>
      </c>
      <c r="C30" s="23" t="n">
        <f aca="false">$B$6</f>
        <v>3</v>
      </c>
      <c r="D30" s="23" t="n">
        <f aca="false">ROUND(B30*$B$5,0)</f>
        <v>1</v>
      </c>
      <c r="E30" s="23" t="n">
        <f aca="false">B30+C30-D30</f>
        <v>49</v>
      </c>
      <c r="F30" s="22" t="n">
        <f aca="false">E30*$B$4</f>
        <v>4361</v>
      </c>
      <c r="G30" s="22" t="n">
        <f aca="false">F30*(1-$B$7)</f>
        <v>3706.85</v>
      </c>
      <c r="H30" s="22" t="n">
        <f aca="false">H29+G30</f>
        <v>44482.2</v>
      </c>
    </row>
    <row r="31" customFormat="false" ht="15" hidden="false" customHeight="false" outlineLevel="0" collapsed="false">
      <c r="A31" s="37" t="n">
        <v>22</v>
      </c>
      <c r="B31" s="32" t="n">
        <f aca="false">E30</f>
        <v>49</v>
      </c>
      <c r="C31" s="32" t="n">
        <f aca="false">$B$6</f>
        <v>3</v>
      </c>
      <c r="D31" s="32" t="n">
        <f aca="false">ROUND(B31*$B$5,0)</f>
        <v>1</v>
      </c>
      <c r="E31" s="32" t="n">
        <f aca="false">B31+C31-D31</f>
        <v>51</v>
      </c>
      <c r="F31" s="31" t="n">
        <f aca="false">E31*$B$4</f>
        <v>4539</v>
      </c>
      <c r="G31" s="31" t="n">
        <f aca="false">F31*(1-$B$7)</f>
        <v>3858.15</v>
      </c>
      <c r="H31" s="31" t="n">
        <f aca="false">H30+G31</f>
        <v>48340.35</v>
      </c>
    </row>
    <row r="32" customFormat="false" ht="15" hidden="false" customHeight="false" outlineLevel="0" collapsed="false">
      <c r="A32" s="36" t="n">
        <v>23</v>
      </c>
      <c r="B32" s="23" t="n">
        <f aca="false">E31</f>
        <v>51</v>
      </c>
      <c r="C32" s="23" t="n">
        <f aca="false">$B$6</f>
        <v>3</v>
      </c>
      <c r="D32" s="23" t="n">
        <f aca="false">ROUND(B32*$B$5,0)</f>
        <v>1</v>
      </c>
      <c r="E32" s="23" t="n">
        <f aca="false">B32+C32-D32</f>
        <v>53</v>
      </c>
      <c r="F32" s="22" t="n">
        <f aca="false">E32*$B$4</f>
        <v>4717</v>
      </c>
      <c r="G32" s="22" t="n">
        <f aca="false">F32*(1-$B$7)</f>
        <v>4009.45</v>
      </c>
      <c r="H32" s="22" t="n">
        <f aca="false">H31+G32</f>
        <v>52349.8</v>
      </c>
    </row>
    <row r="33" customFormat="false" ht="15" hidden="false" customHeight="false" outlineLevel="0" collapsed="false">
      <c r="A33" s="37" t="n">
        <v>24</v>
      </c>
      <c r="B33" s="32" t="n">
        <f aca="false">E32</f>
        <v>53</v>
      </c>
      <c r="C33" s="32" t="n">
        <f aca="false">$B$6</f>
        <v>3</v>
      </c>
      <c r="D33" s="32" t="n">
        <f aca="false">ROUND(B33*$B$5,0)</f>
        <v>1</v>
      </c>
      <c r="E33" s="32" t="n">
        <f aca="false">B33+C33-D33</f>
        <v>55</v>
      </c>
      <c r="F33" s="31" t="n">
        <f aca="false">E33*$B$4</f>
        <v>4895</v>
      </c>
      <c r="G33" s="31" t="n">
        <f aca="false">F33*(1-$B$7)</f>
        <v>4160.75</v>
      </c>
      <c r="H33" s="31" t="n">
        <f aca="false">H32+G33</f>
        <v>56510.55</v>
      </c>
    </row>
    <row r="35" customFormat="false" ht="15" hidden="false" customHeight="false" outlineLevel="0" collapsed="false">
      <c r="A35" s="4" t="s">
        <v>79</v>
      </c>
      <c r="B35" s="22" t="n">
        <f aca="false">G33</f>
        <v>4160.75</v>
      </c>
    </row>
    <row r="36" customFormat="false" ht="15" hidden="false" customHeight="false" outlineLevel="0" collapsed="false">
      <c r="A36" s="4" t="s">
        <v>80</v>
      </c>
      <c r="B36" s="36" t="str">
        <f aca="false">IFERROR(MATCH(TRUE(),INDEX(G10:G33&gt;=Dials!$B$5,0),0),"not within 24 months")</f>
        <v>not within 24 months</v>
      </c>
    </row>
    <row r="37" customFormat="false" ht="15" hidden="false" customHeight="false" outlineLevel="0" collapsed="false">
      <c r="A37" s="4" t="s">
        <v>81</v>
      </c>
      <c r="B37" s="23" t="n">
        <f aca="false">IF($B$5=0,0,$B$6/$B$5)</f>
        <v>120</v>
      </c>
    </row>
    <row r="38" customFormat="false" ht="15" hidden="false" customHeight="false" outlineLevel="0" collapsed="false">
      <c r="A38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2026-08-27T07:49:29Z</dcterms:created>
  <dc:creator>openpyxl</dc:creator>
  <dc:description/>
  <dc:language>en-US</dc:language>
  <cp:lastModifiedBy/>
  <dcterms:modified xsi:type="dcterms:W3CDTF">2026-08-27T07:49:29Z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