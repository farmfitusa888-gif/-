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ls" sheetId="1" state="visible" r:id="rId1"/>
    <sheet name="Summary" sheetId="2" state="visible" r:id="rId2"/>
    <sheet name="Monthly" sheetId="3" state="visible" r:id="rId3"/>
    <sheet name="Sensitivity" sheetId="4" state="visible" r:id="rId4"/>
    <sheet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%"/>
    <numFmt numFmtId="166" formatCode="#,##0.0"/>
  </numFmts>
  <fonts count="10">
    <font>
      <name val="Calibri"/>
      <family val="2"/>
      <color theme="1"/>
      <sz val="11"/>
      <scheme val="minor"/>
    </font>
    <font>
      <b val="1"/>
      <color rgb="FF1D4E6F"/>
      <sz val="16"/>
    </font>
    <font>
      <i val="1"/>
      <sz val="10"/>
    </font>
    <font>
      <b val="1"/>
      <color rgb="FF191A1C"/>
      <sz val="9"/>
    </font>
    <font>
      <b val="1"/>
    </font>
    <font>
      <sz val="9"/>
    </font>
    <font>
      <b val="1"/>
      <color rgb="FF1D4E6F"/>
      <sz val="13"/>
    </font>
    <font>
      <b val="1"/>
      <color rgb="FF1D4E6F"/>
    </font>
    <font>
      <b val="1"/>
      <color rgb="FFA83A2C"/>
    </font>
    <font>
      <b val="1"/>
      <color rgb="FF1D4E6F"/>
      <sz val="14"/>
    </font>
  </fonts>
  <fills count="5">
    <fill>
      <patternFill/>
    </fill>
    <fill>
      <patternFill patternType="gray125"/>
    </fill>
    <fill>
      <patternFill patternType="solid">
        <fgColor rgb="FFE2EBF1"/>
      </patternFill>
    </fill>
    <fill>
      <patternFill patternType="solid">
        <fgColor rgb="FFFFF4D6"/>
      </patternFill>
    </fill>
    <fill>
      <patternFill patternType="solid">
        <fgColor rgb="FFF7F7F5"/>
      </patternFill>
    </fill>
  </fills>
  <borders count="2">
    <border>
      <left/>
      <right/>
      <top/>
      <bottom/>
      <diagonal/>
    </border>
    <border>
      <left style="thin">
        <color rgb="FFD6D4CD"/>
      </left>
      <right style="thin">
        <color rgb="FFD6D4CD"/>
      </right>
      <top style="thin">
        <color rgb="FFD6D4CD"/>
      </top>
      <bottom style="thin">
        <color rgb="FFD6D4C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4" fillId="3" borderId="1" pivotButton="0" quotePrefix="0" xfId="0"/>
    <xf numFmtId="0" fontId="5" fillId="0" borderId="1" applyAlignment="1" pivotButton="0" quotePrefix="0" xfId="0">
      <alignment vertical="top" wrapText="1"/>
    </xf>
    <xf numFmtId="3" fontId="4" fillId="3" borderId="1" pivotButton="0" quotePrefix="0" xfId="0"/>
    <xf numFmtId="165" fontId="4" fillId="3" borderId="1" pivotButton="0" quotePrefix="0" xfId="0"/>
    <xf numFmtId="3" fontId="7" fillId="0" borderId="1" pivotButton="0" quotePrefix="0" xfId="0"/>
    <xf numFmtId="0" fontId="7" fillId="0" borderId="1" pivotButton="0" quotePrefix="0" xfId="0"/>
    <xf numFmtId="9" fontId="7" fillId="0" borderId="1" pivotButton="0" quotePrefix="0" xfId="0"/>
    <xf numFmtId="164" fontId="7" fillId="0" borderId="1" pivotButton="0" quotePrefix="0" xfId="0"/>
    <xf numFmtId="166" fontId="7" fillId="0" borderId="1" pivotButton="0" quotePrefix="0" xfId="0"/>
    <xf numFmtId="165" fontId="7" fillId="0" borderId="1" pivotButton="0" quotePrefix="0" xfId="0"/>
    <xf numFmtId="0" fontId="6" fillId="0" borderId="0" pivotButton="0" quotePrefix="0" xfId="0"/>
    <xf numFmtId="3" fontId="0" fillId="4" borderId="1" pivotButton="0" quotePrefix="0" xfId="0"/>
    <xf numFmtId="166" fontId="0" fillId="4" borderId="1" pivotButton="0" quotePrefix="0" xfId="0"/>
    <xf numFmtId="164" fontId="0" fillId="4" borderId="1" pivotButton="0" quotePrefix="0" xfId="0"/>
    <xf numFmtId="9" fontId="0" fillId="4" borderId="1" pivotButton="0" quotePrefix="0" xfId="0"/>
    <xf numFmtId="0" fontId="0" fillId="2" borderId="0" pivotButton="0" quotePrefix="0" xfId="0"/>
    <xf numFmtId="9" fontId="4" fillId="2" borderId="1" pivotButton="0" quotePrefix="0" xfId="0"/>
    <xf numFmtId="0" fontId="4" fillId="2" borderId="1" pivotButton="0" quotePrefix="0" xfId="0"/>
    <xf numFmtId="3" fontId="0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Customers and MRR</a:t>
            </a:r>
          </a:p>
        </rich>
      </tx>
    </title>
    <plotArea>
      <lineChart>
        <grouping val="standard"/>
        <ser>
          <idx val="0"/>
          <order val="0"/>
          <tx>
            <strRef>
              <f>'Monthly'!D2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'Monthly'!$A$3:$A$38</f>
            </numRef>
          </cat>
          <val>
            <numRef>
              <f>'Monthly'!$D$3:$D$38</f>
            </numRef>
          </val>
        </ser>
        <ser>
          <idx val="1"/>
          <order val="1"/>
          <tx>
            <strRef>
              <f>'Monthly'!E2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'Monthly'!$A$3:$A$38</f>
            </numRef>
          </cat>
          <val>
            <numRef>
              <f>'Monthly'!$E$3:$E$38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2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62" customWidth="1" min="3" max="3"/>
  </cols>
  <sheetData>
    <row r="1">
      <c r="A1" s="1" t="inlineStr">
        <is>
          <t>Countercite — model dials</t>
        </is>
      </c>
    </row>
    <row r="2">
      <c r="A2" s="2" t="inlineStr">
        <is>
          <t>Yellow cells are yours to change. Everything else is a formula. Nothing on the other sheets is typed in by hand.</t>
        </is>
      </c>
    </row>
    <row r="4">
      <c r="A4" s="3" t="inlineStr">
        <is>
          <t>Dial</t>
        </is>
      </c>
      <c r="B4" s="3" t="inlineStr">
        <is>
          <t>Value</t>
        </is>
      </c>
      <c r="C4" s="3" t="inlineStr">
        <is>
          <t>Note — where this number came from</t>
        </is>
      </c>
    </row>
    <row r="5">
      <c r="A5" s="4" t="inlineStr">
        <is>
          <t>Average revenue per customer per month</t>
        </is>
      </c>
      <c r="B5" s="5" t="n">
        <v>299</v>
      </c>
      <c r="C5" s="6" t="inlineStr">
        <is>
          <t>Practice tier. Blended will fall between Solo $149 and Firm $599.</t>
        </is>
      </c>
    </row>
    <row r="6">
      <c r="A6" s="4" t="inlineStr">
        <is>
          <t>Cost to serve one customer per month</t>
        </is>
      </c>
      <c r="B6" s="5" t="n">
        <v>45</v>
      </c>
      <c r="C6" s="6" t="inlineStr">
        <is>
          <t>COSTED at ~$18.50/customer (2026-08-31). Kept at 45 deliberately as headroom, because flat pricing absorbs heavy users.</t>
        </is>
      </c>
    </row>
    <row r="7">
      <c r="A7" s="4" t="inlineStr">
        <is>
          <t>Fixed costs per month</t>
        </is>
      </c>
      <c r="B7" s="5" t="n">
        <v>400</v>
      </c>
      <c r="C7" s="6" t="inlineStr">
        <is>
          <t>Domain, hosting, tooling, accounting. Excludes your own time and the one-off legal spend.</t>
        </is>
      </c>
    </row>
    <row r="8">
      <c r="A8" s="4" t="inlineStr">
        <is>
          <t>New customers in month 1</t>
        </is>
      </c>
      <c r="B8" s="7" t="n">
        <v>3</v>
      </c>
      <c r="C8" s="6" t="inlineStr">
        <is>
          <t>Founder outreach, by hand, from the TDI register.</t>
        </is>
      </c>
    </row>
    <row r="9">
      <c r="A9" s="4" t="inlineStr">
        <is>
          <t>New customers per month at steady state</t>
        </is>
      </c>
      <c r="B9" s="7" t="n">
        <v>9</v>
      </c>
      <c r="C9" s="6" t="inlineStr">
        <is>
          <t>[ASSUMPTION] After SEO and referral compound. Unproven.</t>
        </is>
      </c>
    </row>
    <row r="10">
      <c r="A10" s="4" t="inlineStr">
        <is>
          <t>Months to reach the steady rate</t>
        </is>
      </c>
      <c r="B10" s="7" t="n">
        <v>9</v>
      </c>
      <c r="C10" s="6" t="inlineStr">
        <is>
          <t>How long the channel takes to work.</t>
        </is>
      </c>
    </row>
    <row r="11">
      <c r="A11" s="4" t="inlineStr">
        <is>
          <t>Monthly churn</t>
        </is>
      </c>
      <c r="B11" s="8" t="n">
        <v>0.045</v>
      </c>
      <c r="C11" s="6" t="inlineStr">
        <is>
          <t>[ASSUMPTION] 4.5%/mo = ~22 month average life. Solo professional software churns hard.</t>
        </is>
      </c>
    </row>
    <row r="12">
      <c r="A12" s="4" t="inlineStr">
        <is>
          <t>Target MRR</t>
        </is>
      </c>
      <c r="B12" s="5" t="n">
        <v>30000</v>
      </c>
      <c r="C12" s="6" t="inlineStr">
        <is>
          <t>Midpoint of the $20-50k/month band.</t>
        </is>
      </c>
    </row>
    <row r="13">
      <c r="A13" s="4" t="inlineStr">
        <is>
          <t>Addressable customers (Texas PAs only)</t>
        </is>
      </c>
      <c r="B13" s="7" t="n">
        <v>1708</v>
      </c>
      <c r="C13" s="6" t="inlineStr">
        <is>
          <t>MEASURED, from the TDI licence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60" customWidth="1" min="3" max="3"/>
  </cols>
  <sheetData>
    <row r="1">
      <c r="A1" s="1" t="inlineStr">
        <is>
          <t>Countercite — the questions that matter</t>
        </is>
      </c>
    </row>
    <row r="3">
      <c r="A3" s="3" t="inlineStr">
        <is>
          <t>Question</t>
        </is>
      </c>
      <c r="B3" s="3" t="inlineStr">
        <is>
          <t>Answer</t>
        </is>
      </c>
      <c r="C3" s="3" t="inlineStr">
        <is>
          <t>Why it matters</t>
        </is>
      </c>
    </row>
    <row r="4">
      <c r="A4" s="4" t="inlineStr">
        <is>
          <t>Customers needed to hit the target MRR</t>
        </is>
      </c>
      <c r="B4" s="9">
        <f>CEILING(Dials!$B$12/Dials!$B$5,1)</f>
        <v/>
      </c>
      <c r="C4" s="6" t="inlineStr">
        <is>
          <t>The single number the whole plan aims at.</t>
        </is>
      </c>
    </row>
    <row r="5">
      <c r="A5" s="4" t="inlineStr">
        <is>
          <t>Months to reach the target</t>
        </is>
      </c>
      <c r="B5" s="10">
        <f>IFERROR(MATCH(TRUE,INDEX(Monthly!$E$3:$E$38&gt;=Dials!$B$12,0),0),"not within 36")</f>
        <v/>
      </c>
      <c r="C5" s="6" t="inlineStr">
        <is>
          <t>If this says 'not within 36', the growth or churn dial is unrealistic.</t>
        </is>
      </c>
    </row>
    <row r="6">
      <c r="A6" s="4" t="inlineStr">
        <is>
          <t>Steady-state ceiling (adds ÷ churn)</t>
        </is>
      </c>
      <c r="B6" s="9">
        <f>IFERROR(Dials!$B$9/Dials!$B$11,0)</f>
        <v/>
      </c>
      <c r="C6" s="6" t="inlineStr">
        <is>
          <t>Where customer count stops growing. IF THIS IS BELOW THE BREAK-EVEN COUNT, THE BUSINESS NEVER GETS THERE — churn eats it first. The most important cell in the workbook.</t>
        </is>
      </c>
    </row>
    <row r="7">
      <c r="A7" s="4" t="inlineStr">
        <is>
          <t>Ceiling as a share of the target</t>
        </is>
      </c>
      <c r="B7" s="11">
        <f>IFERROR(Dials!$B$9/Dials!$B$11/CEILING(Dials!$B$12/Dials!$B$5,1),0)</f>
        <v/>
      </c>
      <c r="C7" s="6" t="inlineStr">
        <is>
          <t>Above 100% means the target is reachable at these dials. Below means it is not.</t>
        </is>
      </c>
    </row>
    <row r="8">
      <c r="A8" s="4" t="inlineStr">
        <is>
          <t>MRR at month 12</t>
        </is>
      </c>
      <c r="B8" s="12">
        <f>Monthly!E14</f>
        <v/>
      </c>
      <c r="C8" s="6" t="inlineStr"/>
    </row>
    <row r="9">
      <c r="A9" s="4" t="inlineStr">
        <is>
          <t>MRR at month 24</t>
        </is>
      </c>
      <c r="B9" s="12">
        <f>Monthly!E26</f>
        <v/>
      </c>
      <c r="C9" s="6" t="inlineStr"/>
    </row>
    <row r="10">
      <c r="A10" s="4" t="inlineStr">
        <is>
          <t>MRR at month 36</t>
        </is>
      </c>
      <c r="B10" s="12">
        <f>Monthly!E38</f>
        <v/>
      </c>
      <c r="C10" s="6" t="inlineStr"/>
    </row>
    <row r="11">
      <c r="A11" s="4" t="inlineStr">
        <is>
          <t>Cumulative cash at month 36</t>
        </is>
      </c>
      <c r="B11" s="12">
        <f>Monthly!K38</f>
        <v/>
      </c>
      <c r="C11" s="6" t="inlineStr">
        <is>
          <t>Negative means the business has not repaid its fixed costs.</t>
        </is>
      </c>
    </row>
    <row r="12">
      <c r="A12" s="4" t="inlineStr">
        <is>
          <t>Gross margin</t>
        </is>
      </c>
      <c r="B12" s="11">
        <f>IFERROR(1-Dials!$B$6/Dials!$B$5,0)</f>
        <v/>
      </c>
      <c r="C12" s="6" t="inlineStr">
        <is>
          <t>Below about 70% and the flat-price model is under strain.</t>
        </is>
      </c>
    </row>
    <row r="13">
      <c r="A13" s="4" t="inlineStr">
        <is>
          <t>Average customer lifetime (months)</t>
        </is>
      </c>
      <c r="B13" s="13">
        <f>IFERROR(1/Dials!$B$11,0)</f>
        <v/>
      </c>
      <c r="C13" s="6" t="inlineStr">
        <is>
          <t>The reciprocal of monthly churn.</t>
        </is>
      </c>
    </row>
    <row r="14">
      <c r="A14" s="4" t="inlineStr">
        <is>
          <t>Lifetime value</t>
        </is>
      </c>
      <c r="B14" s="12">
        <f>IFERROR((Dials!$B$5-Dials!$B$6)/Dials!$B$11,0)</f>
        <v/>
      </c>
      <c r="C14" s="6" t="inlineStr">
        <is>
          <t>Gross-margin LTV. Compare to what an acquisition is allowed to cost.</t>
        </is>
      </c>
    </row>
    <row r="15">
      <c r="A15" s="4" t="inlineStr">
        <is>
          <t>Market share needed at the target</t>
        </is>
      </c>
      <c r="B15" s="14">
        <f>IFERROR(CEILING(Dials!$B$12/Dials!$B$5,1)/Dials!$B$13,0)</f>
        <v/>
      </c>
      <c r="C15" s="6" t="inlineStr">
        <is>
          <t>Denominator is 1,708 active Texas public adjuster licences (TDI file, 2026-08-28). Texas alone, one of three target professions, before Illinois or Florida.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5" t="inlineStr">
        <is>
          <t>Countercite — 36 months</t>
        </is>
      </c>
    </row>
    <row r="2">
      <c r="A2" s="3" t="inlineStr">
        <is>
          <t>Month</t>
        </is>
      </c>
      <c r="B2" s="3" t="inlineStr">
        <is>
          <t>New adds</t>
        </is>
      </c>
      <c r="C2" s="3" t="inlineStr">
        <is>
          <t>Churned</t>
        </is>
      </c>
      <c r="D2" s="3" t="inlineStr">
        <is>
          <t>Customers</t>
        </is>
      </c>
      <c r="E2" s="3" t="inlineStr">
        <is>
          <t>MRR</t>
        </is>
      </c>
      <c r="F2" s="3" t="inlineStr">
        <is>
          <t>ARR run-rate</t>
        </is>
      </c>
      <c r="G2" s="3" t="inlineStr">
        <is>
          <t>COGS</t>
        </is>
      </c>
      <c r="H2" s="3" t="inlineStr">
        <is>
          <t>Gross profit</t>
        </is>
      </c>
      <c r="I2" s="3" t="inlineStr">
        <is>
          <t>Fixed costs</t>
        </is>
      </c>
      <c r="J2" s="3" t="inlineStr">
        <is>
          <t>Net</t>
        </is>
      </c>
      <c r="K2" s="3" t="inlineStr">
        <is>
          <t>Cumulative</t>
        </is>
      </c>
      <c r="L2" s="3" t="inlineStr">
        <is>
          <t>% of break-even</t>
        </is>
      </c>
    </row>
    <row r="3">
      <c r="A3" s="4" t="n">
        <v>1</v>
      </c>
      <c r="B3" s="16">
        <f>ROUND(MIN(Dials!$B$9,Dials!$B$8+(Dials!$B$9-Dials!$B$8)*MIN(1,(A3-1)/Dials!$B$10)),0)</f>
        <v/>
      </c>
      <c r="C3" s="17">
        <f>ROUND(0*Dials!$B$11,1)</f>
        <v/>
      </c>
      <c r="D3" s="16">
        <f>MAX(0,0+B3-C3)</f>
        <v/>
      </c>
      <c r="E3" s="18">
        <f>D3*Dials!$B$5</f>
        <v/>
      </c>
      <c r="F3" s="18">
        <f>E3*12</f>
        <v/>
      </c>
      <c r="G3" s="18">
        <f>D3*Dials!$B$6</f>
        <v/>
      </c>
      <c r="H3" s="18">
        <f>E3-G3</f>
        <v/>
      </c>
      <c r="I3" s="18">
        <f>Dials!$B$7</f>
        <v/>
      </c>
      <c r="J3" s="18">
        <f>H3-I3</f>
        <v/>
      </c>
      <c r="K3" s="18">
        <f>J3</f>
        <v/>
      </c>
      <c r="L3" s="19">
        <f>IF(Dials!$B$12=0,0,E3/Dials!$B$12)</f>
        <v/>
      </c>
    </row>
    <row r="4">
      <c r="A4" s="4" t="n">
        <v>2</v>
      </c>
      <c r="B4" s="16">
        <f>ROUND(MIN(Dials!$B$9,Dials!$B$8+(Dials!$B$9-Dials!$B$8)*MIN(1,(A4-1)/Dials!$B$10)),0)</f>
        <v/>
      </c>
      <c r="C4" s="17">
        <f>ROUND(D3*Dials!$B$11,1)</f>
        <v/>
      </c>
      <c r="D4" s="16">
        <f>MAX(0,D3+B4-C4)</f>
        <v/>
      </c>
      <c r="E4" s="18">
        <f>D4*Dials!$B$5</f>
        <v/>
      </c>
      <c r="F4" s="18">
        <f>E4*12</f>
        <v/>
      </c>
      <c r="G4" s="18">
        <f>D4*Dials!$B$6</f>
        <v/>
      </c>
      <c r="H4" s="18">
        <f>E4-G4</f>
        <v/>
      </c>
      <c r="I4" s="18">
        <f>Dials!$B$7</f>
        <v/>
      </c>
      <c r="J4" s="18">
        <f>H4-I4</f>
        <v/>
      </c>
      <c r="K4" s="18">
        <f>K3+J4</f>
        <v/>
      </c>
      <c r="L4" s="19">
        <f>IF(Dials!$B$12=0,0,E4/Dials!$B$12)</f>
        <v/>
      </c>
    </row>
    <row r="5">
      <c r="A5" s="4" t="n">
        <v>3</v>
      </c>
      <c r="B5" s="16">
        <f>ROUND(MIN(Dials!$B$9,Dials!$B$8+(Dials!$B$9-Dials!$B$8)*MIN(1,(A5-1)/Dials!$B$10)),0)</f>
        <v/>
      </c>
      <c r="C5" s="17">
        <f>ROUND(D4*Dials!$B$11,1)</f>
        <v/>
      </c>
      <c r="D5" s="16">
        <f>MAX(0,D4+B5-C5)</f>
        <v/>
      </c>
      <c r="E5" s="18">
        <f>D5*Dials!$B$5</f>
        <v/>
      </c>
      <c r="F5" s="18">
        <f>E5*12</f>
        <v/>
      </c>
      <c r="G5" s="18">
        <f>D5*Dials!$B$6</f>
        <v/>
      </c>
      <c r="H5" s="18">
        <f>E5-G5</f>
        <v/>
      </c>
      <c r="I5" s="18">
        <f>Dials!$B$7</f>
        <v/>
      </c>
      <c r="J5" s="18">
        <f>H5-I5</f>
        <v/>
      </c>
      <c r="K5" s="18">
        <f>K4+J5</f>
        <v/>
      </c>
      <c r="L5" s="19">
        <f>IF(Dials!$B$12=0,0,E5/Dials!$B$12)</f>
        <v/>
      </c>
    </row>
    <row r="6">
      <c r="A6" s="4" t="n">
        <v>4</v>
      </c>
      <c r="B6" s="16">
        <f>ROUND(MIN(Dials!$B$9,Dials!$B$8+(Dials!$B$9-Dials!$B$8)*MIN(1,(A6-1)/Dials!$B$10)),0)</f>
        <v/>
      </c>
      <c r="C6" s="17">
        <f>ROUND(D5*Dials!$B$11,1)</f>
        <v/>
      </c>
      <c r="D6" s="16">
        <f>MAX(0,D5+B6-C6)</f>
        <v/>
      </c>
      <c r="E6" s="18">
        <f>D6*Dials!$B$5</f>
        <v/>
      </c>
      <c r="F6" s="18">
        <f>E6*12</f>
        <v/>
      </c>
      <c r="G6" s="18">
        <f>D6*Dials!$B$6</f>
        <v/>
      </c>
      <c r="H6" s="18">
        <f>E6-G6</f>
        <v/>
      </c>
      <c r="I6" s="18">
        <f>Dials!$B$7</f>
        <v/>
      </c>
      <c r="J6" s="18">
        <f>H6-I6</f>
        <v/>
      </c>
      <c r="K6" s="18">
        <f>K5+J6</f>
        <v/>
      </c>
      <c r="L6" s="19">
        <f>IF(Dials!$B$12=0,0,E6/Dials!$B$12)</f>
        <v/>
      </c>
    </row>
    <row r="7">
      <c r="A7" s="4" t="n">
        <v>5</v>
      </c>
      <c r="B7" s="16">
        <f>ROUND(MIN(Dials!$B$9,Dials!$B$8+(Dials!$B$9-Dials!$B$8)*MIN(1,(A7-1)/Dials!$B$10)),0)</f>
        <v/>
      </c>
      <c r="C7" s="17">
        <f>ROUND(D6*Dials!$B$11,1)</f>
        <v/>
      </c>
      <c r="D7" s="16">
        <f>MAX(0,D6+B7-C7)</f>
        <v/>
      </c>
      <c r="E7" s="18">
        <f>D7*Dials!$B$5</f>
        <v/>
      </c>
      <c r="F7" s="18">
        <f>E7*12</f>
        <v/>
      </c>
      <c r="G7" s="18">
        <f>D7*Dials!$B$6</f>
        <v/>
      </c>
      <c r="H7" s="18">
        <f>E7-G7</f>
        <v/>
      </c>
      <c r="I7" s="18">
        <f>Dials!$B$7</f>
        <v/>
      </c>
      <c r="J7" s="18">
        <f>H7-I7</f>
        <v/>
      </c>
      <c r="K7" s="18">
        <f>K6+J7</f>
        <v/>
      </c>
      <c r="L7" s="19">
        <f>IF(Dials!$B$12=0,0,E7/Dials!$B$12)</f>
        <v/>
      </c>
    </row>
    <row r="8">
      <c r="A8" s="4" t="n">
        <v>6</v>
      </c>
      <c r="B8" s="16">
        <f>ROUND(MIN(Dials!$B$9,Dials!$B$8+(Dials!$B$9-Dials!$B$8)*MIN(1,(A8-1)/Dials!$B$10)),0)</f>
        <v/>
      </c>
      <c r="C8" s="17">
        <f>ROUND(D7*Dials!$B$11,1)</f>
        <v/>
      </c>
      <c r="D8" s="16">
        <f>MAX(0,D7+B8-C8)</f>
        <v/>
      </c>
      <c r="E8" s="18">
        <f>D8*Dials!$B$5</f>
        <v/>
      </c>
      <c r="F8" s="18">
        <f>E8*12</f>
        <v/>
      </c>
      <c r="G8" s="18">
        <f>D8*Dials!$B$6</f>
        <v/>
      </c>
      <c r="H8" s="18">
        <f>E8-G8</f>
        <v/>
      </c>
      <c r="I8" s="18">
        <f>Dials!$B$7</f>
        <v/>
      </c>
      <c r="J8" s="18">
        <f>H8-I8</f>
        <v/>
      </c>
      <c r="K8" s="18">
        <f>K7+J8</f>
        <v/>
      </c>
      <c r="L8" s="19">
        <f>IF(Dials!$B$12=0,0,E8/Dials!$B$12)</f>
        <v/>
      </c>
    </row>
    <row r="9">
      <c r="A9" s="4" t="n">
        <v>7</v>
      </c>
      <c r="B9" s="16">
        <f>ROUND(MIN(Dials!$B$9,Dials!$B$8+(Dials!$B$9-Dials!$B$8)*MIN(1,(A9-1)/Dials!$B$10)),0)</f>
        <v/>
      </c>
      <c r="C9" s="17">
        <f>ROUND(D8*Dials!$B$11,1)</f>
        <v/>
      </c>
      <c r="D9" s="16">
        <f>MAX(0,D8+B9-C9)</f>
        <v/>
      </c>
      <c r="E9" s="18">
        <f>D9*Dials!$B$5</f>
        <v/>
      </c>
      <c r="F9" s="18">
        <f>E9*12</f>
        <v/>
      </c>
      <c r="G9" s="18">
        <f>D9*Dials!$B$6</f>
        <v/>
      </c>
      <c r="H9" s="18">
        <f>E9-G9</f>
        <v/>
      </c>
      <c r="I9" s="18">
        <f>Dials!$B$7</f>
        <v/>
      </c>
      <c r="J9" s="18">
        <f>H9-I9</f>
        <v/>
      </c>
      <c r="K9" s="18">
        <f>K8+J9</f>
        <v/>
      </c>
      <c r="L9" s="19">
        <f>IF(Dials!$B$12=0,0,E9/Dials!$B$12)</f>
        <v/>
      </c>
    </row>
    <row r="10">
      <c r="A10" s="4" t="n">
        <v>8</v>
      </c>
      <c r="B10" s="16">
        <f>ROUND(MIN(Dials!$B$9,Dials!$B$8+(Dials!$B$9-Dials!$B$8)*MIN(1,(A10-1)/Dials!$B$10)),0)</f>
        <v/>
      </c>
      <c r="C10" s="17">
        <f>ROUND(D9*Dials!$B$11,1)</f>
        <v/>
      </c>
      <c r="D10" s="16">
        <f>MAX(0,D9+B10-C10)</f>
        <v/>
      </c>
      <c r="E10" s="18">
        <f>D10*Dials!$B$5</f>
        <v/>
      </c>
      <c r="F10" s="18">
        <f>E10*12</f>
        <v/>
      </c>
      <c r="G10" s="18">
        <f>D10*Dials!$B$6</f>
        <v/>
      </c>
      <c r="H10" s="18">
        <f>E10-G10</f>
        <v/>
      </c>
      <c r="I10" s="18">
        <f>Dials!$B$7</f>
        <v/>
      </c>
      <c r="J10" s="18">
        <f>H10-I10</f>
        <v/>
      </c>
      <c r="K10" s="18">
        <f>K9+J10</f>
        <v/>
      </c>
      <c r="L10" s="19">
        <f>IF(Dials!$B$12=0,0,E10/Dials!$B$12)</f>
        <v/>
      </c>
    </row>
    <row r="11">
      <c r="A11" s="4" t="n">
        <v>9</v>
      </c>
      <c r="B11" s="16">
        <f>ROUND(MIN(Dials!$B$9,Dials!$B$8+(Dials!$B$9-Dials!$B$8)*MIN(1,(A11-1)/Dials!$B$10)),0)</f>
        <v/>
      </c>
      <c r="C11" s="17">
        <f>ROUND(D10*Dials!$B$11,1)</f>
        <v/>
      </c>
      <c r="D11" s="16">
        <f>MAX(0,D10+B11-C11)</f>
        <v/>
      </c>
      <c r="E11" s="18">
        <f>D11*Dials!$B$5</f>
        <v/>
      </c>
      <c r="F11" s="18">
        <f>E11*12</f>
        <v/>
      </c>
      <c r="G11" s="18">
        <f>D11*Dials!$B$6</f>
        <v/>
      </c>
      <c r="H11" s="18">
        <f>E11-G11</f>
        <v/>
      </c>
      <c r="I11" s="18">
        <f>Dials!$B$7</f>
        <v/>
      </c>
      <c r="J11" s="18">
        <f>H11-I11</f>
        <v/>
      </c>
      <c r="K11" s="18">
        <f>K10+J11</f>
        <v/>
      </c>
      <c r="L11" s="19">
        <f>IF(Dials!$B$12=0,0,E11/Dials!$B$12)</f>
        <v/>
      </c>
    </row>
    <row r="12">
      <c r="A12" s="4" t="n">
        <v>10</v>
      </c>
      <c r="B12" s="16">
        <f>ROUND(MIN(Dials!$B$9,Dials!$B$8+(Dials!$B$9-Dials!$B$8)*MIN(1,(A12-1)/Dials!$B$10)),0)</f>
        <v/>
      </c>
      <c r="C12" s="17">
        <f>ROUND(D11*Dials!$B$11,1)</f>
        <v/>
      </c>
      <c r="D12" s="16">
        <f>MAX(0,D11+B12-C12)</f>
        <v/>
      </c>
      <c r="E12" s="18">
        <f>D12*Dials!$B$5</f>
        <v/>
      </c>
      <c r="F12" s="18">
        <f>E12*12</f>
        <v/>
      </c>
      <c r="G12" s="18">
        <f>D12*Dials!$B$6</f>
        <v/>
      </c>
      <c r="H12" s="18">
        <f>E12-G12</f>
        <v/>
      </c>
      <c r="I12" s="18">
        <f>Dials!$B$7</f>
        <v/>
      </c>
      <c r="J12" s="18">
        <f>H12-I12</f>
        <v/>
      </c>
      <c r="K12" s="18">
        <f>K11+J12</f>
        <v/>
      </c>
      <c r="L12" s="19">
        <f>IF(Dials!$B$12=0,0,E12/Dials!$B$12)</f>
        <v/>
      </c>
    </row>
    <row r="13">
      <c r="A13" s="4" t="n">
        <v>11</v>
      </c>
      <c r="B13" s="16">
        <f>ROUND(MIN(Dials!$B$9,Dials!$B$8+(Dials!$B$9-Dials!$B$8)*MIN(1,(A13-1)/Dials!$B$10)),0)</f>
        <v/>
      </c>
      <c r="C13" s="17">
        <f>ROUND(D12*Dials!$B$11,1)</f>
        <v/>
      </c>
      <c r="D13" s="16">
        <f>MAX(0,D12+B13-C13)</f>
        <v/>
      </c>
      <c r="E13" s="18">
        <f>D13*Dials!$B$5</f>
        <v/>
      </c>
      <c r="F13" s="18">
        <f>E13*12</f>
        <v/>
      </c>
      <c r="G13" s="18">
        <f>D13*Dials!$B$6</f>
        <v/>
      </c>
      <c r="H13" s="18">
        <f>E13-G13</f>
        <v/>
      </c>
      <c r="I13" s="18">
        <f>Dials!$B$7</f>
        <v/>
      </c>
      <c r="J13" s="18">
        <f>H13-I13</f>
        <v/>
      </c>
      <c r="K13" s="18">
        <f>K12+J13</f>
        <v/>
      </c>
      <c r="L13" s="19">
        <f>IF(Dials!$B$12=0,0,E13/Dials!$B$12)</f>
        <v/>
      </c>
    </row>
    <row r="14">
      <c r="A14" s="4" t="n">
        <v>12</v>
      </c>
      <c r="B14" s="16">
        <f>ROUND(MIN(Dials!$B$9,Dials!$B$8+(Dials!$B$9-Dials!$B$8)*MIN(1,(A14-1)/Dials!$B$10)),0)</f>
        <v/>
      </c>
      <c r="C14" s="17">
        <f>ROUND(D13*Dials!$B$11,1)</f>
        <v/>
      </c>
      <c r="D14" s="16">
        <f>MAX(0,D13+B14-C14)</f>
        <v/>
      </c>
      <c r="E14" s="18">
        <f>D14*Dials!$B$5</f>
        <v/>
      </c>
      <c r="F14" s="18">
        <f>E14*12</f>
        <v/>
      </c>
      <c r="G14" s="18">
        <f>D14*Dials!$B$6</f>
        <v/>
      </c>
      <c r="H14" s="18">
        <f>E14-G14</f>
        <v/>
      </c>
      <c r="I14" s="18">
        <f>Dials!$B$7</f>
        <v/>
      </c>
      <c r="J14" s="18">
        <f>H14-I14</f>
        <v/>
      </c>
      <c r="K14" s="18">
        <f>K13+J14</f>
        <v/>
      </c>
      <c r="L14" s="19">
        <f>IF(Dials!$B$12=0,0,E14/Dials!$B$12)</f>
        <v/>
      </c>
    </row>
    <row r="15">
      <c r="A15" s="4" t="n">
        <v>13</v>
      </c>
      <c r="B15" s="16">
        <f>ROUND(MIN(Dials!$B$9,Dials!$B$8+(Dials!$B$9-Dials!$B$8)*MIN(1,(A15-1)/Dials!$B$10)),0)</f>
        <v/>
      </c>
      <c r="C15" s="17">
        <f>ROUND(D14*Dials!$B$11,1)</f>
        <v/>
      </c>
      <c r="D15" s="16">
        <f>MAX(0,D14+B15-C15)</f>
        <v/>
      </c>
      <c r="E15" s="18">
        <f>D15*Dials!$B$5</f>
        <v/>
      </c>
      <c r="F15" s="18">
        <f>E15*12</f>
        <v/>
      </c>
      <c r="G15" s="18">
        <f>D15*Dials!$B$6</f>
        <v/>
      </c>
      <c r="H15" s="18">
        <f>E15-G15</f>
        <v/>
      </c>
      <c r="I15" s="18">
        <f>Dials!$B$7</f>
        <v/>
      </c>
      <c r="J15" s="18">
        <f>H15-I15</f>
        <v/>
      </c>
      <c r="K15" s="18">
        <f>K14+J15</f>
        <v/>
      </c>
      <c r="L15" s="19">
        <f>IF(Dials!$B$12=0,0,E15/Dials!$B$12)</f>
        <v/>
      </c>
    </row>
    <row r="16">
      <c r="A16" s="4" t="n">
        <v>14</v>
      </c>
      <c r="B16" s="16">
        <f>ROUND(MIN(Dials!$B$9,Dials!$B$8+(Dials!$B$9-Dials!$B$8)*MIN(1,(A16-1)/Dials!$B$10)),0)</f>
        <v/>
      </c>
      <c r="C16" s="17">
        <f>ROUND(D15*Dials!$B$11,1)</f>
        <v/>
      </c>
      <c r="D16" s="16">
        <f>MAX(0,D15+B16-C16)</f>
        <v/>
      </c>
      <c r="E16" s="18">
        <f>D16*Dials!$B$5</f>
        <v/>
      </c>
      <c r="F16" s="18">
        <f>E16*12</f>
        <v/>
      </c>
      <c r="G16" s="18">
        <f>D16*Dials!$B$6</f>
        <v/>
      </c>
      <c r="H16" s="18">
        <f>E16-G16</f>
        <v/>
      </c>
      <c r="I16" s="18">
        <f>Dials!$B$7</f>
        <v/>
      </c>
      <c r="J16" s="18">
        <f>H16-I16</f>
        <v/>
      </c>
      <c r="K16" s="18">
        <f>K15+J16</f>
        <v/>
      </c>
      <c r="L16" s="19">
        <f>IF(Dials!$B$12=0,0,E16/Dials!$B$12)</f>
        <v/>
      </c>
    </row>
    <row r="17">
      <c r="A17" s="4" t="n">
        <v>15</v>
      </c>
      <c r="B17" s="16">
        <f>ROUND(MIN(Dials!$B$9,Dials!$B$8+(Dials!$B$9-Dials!$B$8)*MIN(1,(A17-1)/Dials!$B$10)),0)</f>
        <v/>
      </c>
      <c r="C17" s="17">
        <f>ROUND(D16*Dials!$B$11,1)</f>
        <v/>
      </c>
      <c r="D17" s="16">
        <f>MAX(0,D16+B17-C17)</f>
        <v/>
      </c>
      <c r="E17" s="18">
        <f>D17*Dials!$B$5</f>
        <v/>
      </c>
      <c r="F17" s="18">
        <f>E17*12</f>
        <v/>
      </c>
      <c r="G17" s="18">
        <f>D17*Dials!$B$6</f>
        <v/>
      </c>
      <c r="H17" s="18">
        <f>E17-G17</f>
        <v/>
      </c>
      <c r="I17" s="18">
        <f>Dials!$B$7</f>
        <v/>
      </c>
      <c r="J17" s="18">
        <f>H17-I17</f>
        <v/>
      </c>
      <c r="K17" s="18">
        <f>K16+J17</f>
        <v/>
      </c>
      <c r="L17" s="19">
        <f>IF(Dials!$B$12=0,0,E17/Dials!$B$12)</f>
        <v/>
      </c>
    </row>
    <row r="18">
      <c r="A18" s="4" t="n">
        <v>16</v>
      </c>
      <c r="B18" s="16">
        <f>ROUND(MIN(Dials!$B$9,Dials!$B$8+(Dials!$B$9-Dials!$B$8)*MIN(1,(A18-1)/Dials!$B$10)),0)</f>
        <v/>
      </c>
      <c r="C18" s="17">
        <f>ROUND(D17*Dials!$B$11,1)</f>
        <v/>
      </c>
      <c r="D18" s="16">
        <f>MAX(0,D17+B18-C18)</f>
        <v/>
      </c>
      <c r="E18" s="18">
        <f>D18*Dials!$B$5</f>
        <v/>
      </c>
      <c r="F18" s="18">
        <f>E18*12</f>
        <v/>
      </c>
      <c r="G18" s="18">
        <f>D18*Dials!$B$6</f>
        <v/>
      </c>
      <c r="H18" s="18">
        <f>E18-G18</f>
        <v/>
      </c>
      <c r="I18" s="18">
        <f>Dials!$B$7</f>
        <v/>
      </c>
      <c r="J18" s="18">
        <f>H18-I18</f>
        <v/>
      </c>
      <c r="K18" s="18">
        <f>K17+J18</f>
        <v/>
      </c>
      <c r="L18" s="19">
        <f>IF(Dials!$B$12=0,0,E18/Dials!$B$12)</f>
        <v/>
      </c>
    </row>
    <row r="19">
      <c r="A19" s="4" t="n">
        <v>17</v>
      </c>
      <c r="B19" s="16">
        <f>ROUND(MIN(Dials!$B$9,Dials!$B$8+(Dials!$B$9-Dials!$B$8)*MIN(1,(A19-1)/Dials!$B$10)),0)</f>
        <v/>
      </c>
      <c r="C19" s="17">
        <f>ROUND(D18*Dials!$B$11,1)</f>
        <v/>
      </c>
      <c r="D19" s="16">
        <f>MAX(0,D18+B19-C19)</f>
        <v/>
      </c>
      <c r="E19" s="18">
        <f>D19*Dials!$B$5</f>
        <v/>
      </c>
      <c r="F19" s="18">
        <f>E19*12</f>
        <v/>
      </c>
      <c r="G19" s="18">
        <f>D19*Dials!$B$6</f>
        <v/>
      </c>
      <c r="H19" s="18">
        <f>E19-G19</f>
        <v/>
      </c>
      <c r="I19" s="18">
        <f>Dials!$B$7</f>
        <v/>
      </c>
      <c r="J19" s="18">
        <f>H19-I19</f>
        <v/>
      </c>
      <c r="K19" s="18">
        <f>K18+J19</f>
        <v/>
      </c>
      <c r="L19" s="19">
        <f>IF(Dials!$B$12=0,0,E19/Dials!$B$12)</f>
        <v/>
      </c>
    </row>
    <row r="20">
      <c r="A20" s="4" t="n">
        <v>18</v>
      </c>
      <c r="B20" s="16">
        <f>ROUND(MIN(Dials!$B$9,Dials!$B$8+(Dials!$B$9-Dials!$B$8)*MIN(1,(A20-1)/Dials!$B$10)),0)</f>
        <v/>
      </c>
      <c r="C20" s="17">
        <f>ROUND(D19*Dials!$B$11,1)</f>
        <v/>
      </c>
      <c r="D20" s="16">
        <f>MAX(0,D19+B20-C20)</f>
        <v/>
      </c>
      <c r="E20" s="18">
        <f>D20*Dials!$B$5</f>
        <v/>
      </c>
      <c r="F20" s="18">
        <f>E20*12</f>
        <v/>
      </c>
      <c r="G20" s="18">
        <f>D20*Dials!$B$6</f>
        <v/>
      </c>
      <c r="H20" s="18">
        <f>E20-G20</f>
        <v/>
      </c>
      <c r="I20" s="18">
        <f>Dials!$B$7</f>
        <v/>
      </c>
      <c r="J20" s="18">
        <f>H20-I20</f>
        <v/>
      </c>
      <c r="K20" s="18">
        <f>K19+J20</f>
        <v/>
      </c>
      <c r="L20" s="19">
        <f>IF(Dials!$B$12=0,0,E20/Dials!$B$12)</f>
        <v/>
      </c>
    </row>
    <row r="21">
      <c r="A21" s="4" t="n">
        <v>19</v>
      </c>
      <c r="B21" s="16">
        <f>ROUND(MIN(Dials!$B$9,Dials!$B$8+(Dials!$B$9-Dials!$B$8)*MIN(1,(A21-1)/Dials!$B$10)),0)</f>
        <v/>
      </c>
      <c r="C21" s="17">
        <f>ROUND(D20*Dials!$B$11,1)</f>
        <v/>
      </c>
      <c r="D21" s="16">
        <f>MAX(0,D20+B21-C21)</f>
        <v/>
      </c>
      <c r="E21" s="18">
        <f>D21*Dials!$B$5</f>
        <v/>
      </c>
      <c r="F21" s="18">
        <f>E21*12</f>
        <v/>
      </c>
      <c r="G21" s="18">
        <f>D21*Dials!$B$6</f>
        <v/>
      </c>
      <c r="H21" s="18">
        <f>E21-G21</f>
        <v/>
      </c>
      <c r="I21" s="18">
        <f>Dials!$B$7</f>
        <v/>
      </c>
      <c r="J21" s="18">
        <f>H21-I21</f>
        <v/>
      </c>
      <c r="K21" s="18">
        <f>K20+J21</f>
        <v/>
      </c>
      <c r="L21" s="19">
        <f>IF(Dials!$B$12=0,0,E21/Dials!$B$12)</f>
        <v/>
      </c>
    </row>
    <row r="22">
      <c r="A22" s="4" t="n">
        <v>20</v>
      </c>
      <c r="B22" s="16">
        <f>ROUND(MIN(Dials!$B$9,Dials!$B$8+(Dials!$B$9-Dials!$B$8)*MIN(1,(A22-1)/Dials!$B$10)),0)</f>
        <v/>
      </c>
      <c r="C22" s="17">
        <f>ROUND(D21*Dials!$B$11,1)</f>
        <v/>
      </c>
      <c r="D22" s="16">
        <f>MAX(0,D21+B22-C22)</f>
        <v/>
      </c>
      <c r="E22" s="18">
        <f>D22*Dials!$B$5</f>
        <v/>
      </c>
      <c r="F22" s="18">
        <f>E22*12</f>
        <v/>
      </c>
      <c r="G22" s="18">
        <f>D22*Dials!$B$6</f>
        <v/>
      </c>
      <c r="H22" s="18">
        <f>E22-G22</f>
        <v/>
      </c>
      <c r="I22" s="18">
        <f>Dials!$B$7</f>
        <v/>
      </c>
      <c r="J22" s="18">
        <f>H22-I22</f>
        <v/>
      </c>
      <c r="K22" s="18">
        <f>K21+J22</f>
        <v/>
      </c>
      <c r="L22" s="19">
        <f>IF(Dials!$B$12=0,0,E22/Dials!$B$12)</f>
        <v/>
      </c>
    </row>
    <row r="23">
      <c r="A23" s="4" t="n">
        <v>21</v>
      </c>
      <c r="B23" s="16">
        <f>ROUND(MIN(Dials!$B$9,Dials!$B$8+(Dials!$B$9-Dials!$B$8)*MIN(1,(A23-1)/Dials!$B$10)),0)</f>
        <v/>
      </c>
      <c r="C23" s="17">
        <f>ROUND(D22*Dials!$B$11,1)</f>
        <v/>
      </c>
      <c r="D23" s="16">
        <f>MAX(0,D22+B23-C23)</f>
        <v/>
      </c>
      <c r="E23" s="18">
        <f>D23*Dials!$B$5</f>
        <v/>
      </c>
      <c r="F23" s="18">
        <f>E23*12</f>
        <v/>
      </c>
      <c r="G23" s="18">
        <f>D23*Dials!$B$6</f>
        <v/>
      </c>
      <c r="H23" s="18">
        <f>E23-G23</f>
        <v/>
      </c>
      <c r="I23" s="18">
        <f>Dials!$B$7</f>
        <v/>
      </c>
      <c r="J23" s="18">
        <f>H23-I23</f>
        <v/>
      </c>
      <c r="K23" s="18">
        <f>K22+J23</f>
        <v/>
      </c>
      <c r="L23" s="19">
        <f>IF(Dials!$B$12=0,0,E23/Dials!$B$12)</f>
        <v/>
      </c>
    </row>
    <row r="24">
      <c r="A24" s="4" t="n">
        <v>22</v>
      </c>
      <c r="B24" s="16">
        <f>ROUND(MIN(Dials!$B$9,Dials!$B$8+(Dials!$B$9-Dials!$B$8)*MIN(1,(A24-1)/Dials!$B$10)),0)</f>
        <v/>
      </c>
      <c r="C24" s="17">
        <f>ROUND(D23*Dials!$B$11,1)</f>
        <v/>
      </c>
      <c r="D24" s="16">
        <f>MAX(0,D23+B24-C24)</f>
        <v/>
      </c>
      <c r="E24" s="18">
        <f>D24*Dials!$B$5</f>
        <v/>
      </c>
      <c r="F24" s="18">
        <f>E24*12</f>
        <v/>
      </c>
      <c r="G24" s="18">
        <f>D24*Dials!$B$6</f>
        <v/>
      </c>
      <c r="H24" s="18">
        <f>E24-G24</f>
        <v/>
      </c>
      <c r="I24" s="18">
        <f>Dials!$B$7</f>
        <v/>
      </c>
      <c r="J24" s="18">
        <f>H24-I24</f>
        <v/>
      </c>
      <c r="K24" s="18">
        <f>K23+J24</f>
        <v/>
      </c>
      <c r="L24" s="19">
        <f>IF(Dials!$B$12=0,0,E24/Dials!$B$12)</f>
        <v/>
      </c>
    </row>
    <row r="25">
      <c r="A25" s="4" t="n">
        <v>23</v>
      </c>
      <c r="B25" s="16">
        <f>ROUND(MIN(Dials!$B$9,Dials!$B$8+(Dials!$B$9-Dials!$B$8)*MIN(1,(A25-1)/Dials!$B$10)),0)</f>
        <v/>
      </c>
      <c r="C25" s="17">
        <f>ROUND(D24*Dials!$B$11,1)</f>
        <v/>
      </c>
      <c r="D25" s="16">
        <f>MAX(0,D24+B25-C25)</f>
        <v/>
      </c>
      <c r="E25" s="18">
        <f>D25*Dials!$B$5</f>
        <v/>
      </c>
      <c r="F25" s="18">
        <f>E25*12</f>
        <v/>
      </c>
      <c r="G25" s="18">
        <f>D25*Dials!$B$6</f>
        <v/>
      </c>
      <c r="H25" s="18">
        <f>E25-G25</f>
        <v/>
      </c>
      <c r="I25" s="18">
        <f>Dials!$B$7</f>
        <v/>
      </c>
      <c r="J25" s="18">
        <f>H25-I25</f>
        <v/>
      </c>
      <c r="K25" s="18">
        <f>K24+J25</f>
        <v/>
      </c>
      <c r="L25" s="19">
        <f>IF(Dials!$B$12=0,0,E25/Dials!$B$12)</f>
        <v/>
      </c>
    </row>
    <row r="26">
      <c r="A26" s="4" t="n">
        <v>24</v>
      </c>
      <c r="B26" s="16">
        <f>ROUND(MIN(Dials!$B$9,Dials!$B$8+(Dials!$B$9-Dials!$B$8)*MIN(1,(A26-1)/Dials!$B$10)),0)</f>
        <v/>
      </c>
      <c r="C26" s="17">
        <f>ROUND(D25*Dials!$B$11,1)</f>
        <v/>
      </c>
      <c r="D26" s="16">
        <f>MAX(0,D25+B26-C26)</f>
        <v/>
      </c>
      <c r="E26" s="18">
        <f>D26*Dials!$B$5</f>
        <v/>
      </c>
      <c r="F26" s="18">
        <f>E26*12</f>
        <v/>
      </c>
      <c r="G26" s="18">
        <f>D26*Dials!$B$6</f>
        <v/>
      </c>
      <c r="H26" s="18">
        <f>E26-G26</f>
        <v/>
      </c>
      <c r="I26" s="18">
        <f>Dials!$B$7</f>
        <v/>
      </c>
      <c r="J26" s="18">
        <f>H26-I26</f>
        <v/>
      </c>
      <c r="K26" s="18">
        <f>K25+J26</f>
        <v/>
      </c>
      <c r="L26" s="19">
        <f>IF(Dials!$B$12=0,0,E26/Dials!$B$12)</f>
        <v/>
      </c>
    </row>
    <row r="27">
      <c r="A27" s="4" t="n">
        <v>25</v>
      </c>
      <c r="B27" s="16">
        <f>ROUND(MIN(Dials!$B$9,Dials!$B$8+(Dials!$B$9-Dials!$B$8)*MIN(1,(A27-1)/Dials!$B$10)),0)</f>
        <v/>
      </c>
      <c r="C27" s="17">
        <f>ROUND(D26*Dials!$B$11,1)</f>
        <v/>
      </c>
      <c r="D27" s="16">
        <f>MAX(0,D26+B27-C27)</f>
        <v/>
      </c>
      <c r="E27" s="18">
        <f>D27*Dials!$B$5</f>
        <v/>
      </c>
      <c r="F27" s="18">
        <f>E27*12</f>
        <v/>
      </c>
      <c r="G27" s="18">
        <f>D27*Dials!$B$6</f>
        <v/>
      </c>
      <c r="H27" s="18">
        <f>E27-G27</f>
        <v/>
      </c>
      <c r="I27" s="18">
        <f>Dials!$B$7</f>
        <v/>
      </c>
      <c r="J27" s="18">
        <f>H27-I27</f>
        <v/>
      </c>
      <c r="K27" s="18">
        <f>K26+J27</f>
        <v/>
      </c>
      <c r="L27" s="19">
        <f>IF(Dials!$B$12=0,0,E27/Dials!$B$12)</f>
        <v/>
      </c>
    </row>
    <row r="28">
      <c r="A28" s="4" t="n">
        <v>26</v>
      </c>
      <c r="B28" s="16">
        <f>ROUND(MIN(Dials!$B$9,Dials!$B$8+(Dials!$B$9-Dials!$B$8)*MIN(1,(A28-1)/Dials!$B$10)),0)</f>
        <v/>
      </c>
      <c r="C28" s="17">
        <f>ROUND(D27*Dials!$B$11,1)</f>
        <v/>
      </c>
      <c r="D28" s="16">
        <f>MAX(0,D27+B28-C28)</f>
        <v/>
      </c>
      <c r="E28" s="18">
        <f>D28*Dials!$B$5</f>
        <v/>
      </c>
      <c r="F28" s="18">
        <f>E28*12</f>
        <v/>
      </c>
      <c r="G28" s="18">
        <f>D28*Dials!$B$6</f>
        <v/>
      </c>
      <c r="H28" s="18">
        <f>E28-G28</f>
        <v/>
      </c>
      <c r="I28" s="18">
        <f>Dials!$B$7</f>
        <v/>
      </c>
      <c r="J28" s="18">
        <f>H28-I28</f>
        <v/>
      </c>
      <c r="K28" s="18">
        <f>K27+J28</f>
        <v/>
      </c>
      <c r="L28" s="19">
        <f>IF(Dials!$B$12=0,0,E28/Dials!$B$12)</f>
        <v/>
      </c>
    </row>
    <row r="29">
      <c r="A29" s="4" t="n">
        <v>27</v>
      </c>
      <c r="B29" s="16">
        <f>ROUND(MIN(Dials!$B$9,Dials!$B$8+(Dials!$B$9-Dials!$B$8)*MIN(1,(A29-1)/Dials!$B$10)),0)</f>
        <v/>
      </c>
      <c r="C29" s="17">
        <f>ROUND(D28*Dials!$B$11,1)</f>
        <v/>
      </c>
      <c r="D29" s="16">
        <f>MAX(0,D28+B29-C29)</f>
        <v/>
      </c>
      <c r="E29" s="18">
        <f>D29*Dials!$B$5</f>
        <v/>
      </c>
      <c r="F29" s="18">
        <f>E29*12</f>
        <v/>
      </c>
      <c r="G29" s="18">
        <f>D29*Dials!$B$6</f>
        <v/>
      </c>
      <c r="H29" s="18">
        <f>E29-G29</f>
        <v/>
      </c>
      <c r="I29" s="18">
        <f>Dials!$B$7</f>
        <v/>
      </c>
      <c r="J29" s="18">
        <f>H29-I29</f>
        <v/>
      </c>
      <c r="K29" s="18">
        <f>K28+J29</f>
        <v/>
      </c>
      <c r="L29" s="19">
        <f>IF(Dials!$B$12=0,0,E29/Dials!$B$12)</f>
        <v/>
      </c>
    </row>
    <row r="30">
      <c r="A30" s="4" t="n">
        <v>28</v>
      </c>
      <c r="B30" s="16">
        <f>ROUND(MIN(Dials!$B$9,Dials!$B$8+(Dials!$B$9-Dials!$B$8)*MIN(1,(A30-1)/Dials!$B$10)),0)</f>
        <v/>
      </c>
      <c r="C30" s="17">
        <f>ROUND(D29*Dials!$B$11,1)</f>
        <v/>
      </c>
      <c r="D30" s="16">
        <f>MAX(0,D29+B30-C30)</f>
        <v/>
      </c>
      <c r="E30" s="18">
        <f>D30*Dials!$B$5</f>
        <v/>
      </c>
      <c r="F30" s="18">
        <f>E30*12</f>
        <v/>
      </c>
      <c r="G30" s="18">
        <f>D30*Dials!$B$6</f>
        <v/>
      </c>
      <c r="H30" s="18">
        <f>E30-G30</f>
        <v/>
      </c>
      <c r="I30" s="18">
        <f>Dials!$B$7</f>
        <v/>
      </c>
      <c r="J30" s="18">
        <f>H30-I30</f>
        <v/>
      </c>
      <c r="K30" s="18">
        <f>K29+J30</f>
        <v/>
      </c>
      <c r="L30" s="19">
        <f>IF(Dials!$B$12=0,0,E30/Dials!$B$12)</f>
        <v/>
      </c>
    </row>
    <row r="31">
      <c r="A31" s="4" t="n">
        <v>29</v>
      </c>
      <c r="B31" s="16">
        <f>ROUND(MIN(Dials!$B$9,Dials!$B$8+(Dials!$B$9-Dials!$B$8)*MIN(1,(A31-1)/Dials!$B$10)),0)</f>
        <v/>
      </c>
      <c r="C31" s="17">
        <f>ROUND(D30*Dials!$B$11,1)</f>
        <v/>
      </c>
      <c r="D31" s="16">
        <f>MAX(0,D30+B31-C31)</f>
        <v/>
      </c>
      <c r="E31" s="18">
        <f>D31*Dials!$B$5</f>
        <v/>
      </c>
      <c r="F31" s="18">
        <f>E31*12</f>
        <v/>
      </c>
      <c r="G31" s="18">
        <f>D31*Dials!$B$6</f>
        <v/>
      </c>
      <c r="H31" s="18">
        <f>E31-G31</f>
        <v/>
      </c>
      <c r="I31" s="18">
        <f>Dials!$B$7</f>
        <v/>
      </c>
      <c r="J31" s="18">
        <f>H31-I31</f>
        <v/>
      </c>
      <c r="K31" s="18">
        <f>K30+J31</f>
        <v/>
      </c>
      <c r="L31" s="19">
        <f>IF(Dials!$B$12=0,0,E31/Dials!$B$12)</f>
        <v/>
      </c>
    </row>
    <row r="32">
      <c r="A32" s="4" t="n">
        <v>30</v>
      </c>
      <c r="B32" s="16">
        <f>ROUND(MIN(Dials!$B$9,Dials!$B$8+(Dials!$B$9-Dials!$B$8)*MIN(1,(A32-1)/Dials!$B$10)),0)</f>
        <v/>
      </c>
      <c r="C32" s="17">
        <f>ROUND(D31*Dials!$B$11,1)</f>
        <v/>
      </c>
      <c r="D32" s="16">
        <f>MAX(0,D31+B32-C32)</f>
        <v/>
      </c>
      <c r="E32" s="18">
        <f>D32*Dials!$B$5</f>
        <v/>
      </c>
      <c r="F32" s="18">
        <f>E32*12</f>
        <v/>
      </c>
      <c r="G32" s="18">
        <f>D32*Dials!$B$6</f>
        <v/>
      </c>
      <c r="H32" s="18">
        <f>E32-G32</f>
        <v/>
      </c>
      <c r="I32" s="18">
        <f>Dials!$B$7</f>
        <v/>
      </c>
      <c r="J32" s="18">
        <f>H32-I32</f>
        <v/>
      </c>
      <c r="K32" s="18">
        <f>K31+J32</f>
        <v/>
      </c>
      <c r="L32" s="19">
        <f>IF(Dials!$B$12=0,0,E32/Dials!$B$12)</f>
        <v/>
      </c>
    </row>
    <row r="33">
      <c r="A33" s="4" t="n">
        <v>31</v>
      </c>
      <c r="B33" s="16">
        <f>ROUND(MIN(Dials!$B$9,Dials!$B$8+(Dials!$B$9-Dials!$B$8)*MIN(1,(A33-1)/Dials!$B$10)),0)</f>
        <v/>
      </c>
      <c r="C33" s="17">
        <f>ROUND(D32*Dials!$B$11,1)</f>
        <v/>
      </c>
      <c r="D33" s="16">
        <f>MAX(0,D32+B33-C33)</f>
        <v/>
      </c>
      <c r="E33" s="18">
        <f>D33*Dials!$B$5</f>
        <v/>
      </c>
      <c r="F33" s="18">
        <f>E33*12</f>
        <v/>
      </c>
      <c r="G33" s="18">
        <f>D33*Dials!$B$6</f>
        <v/>
      </c>
      <c r="H33" s="18">
        <f>E33-G33</f>
        <v/>
      </c>
      <c r="I33" s="18">
        <f>Dials!$B$7</f>
        <v/>
      </c>
      <c r="J33" s="18">
        <f>H33-I33</f>
        <v/>
      </c>
      <c r="K33" s="18">
        <f>K32+J33</f>
        <v/>
      </c>
      <c r="L33" s="19">
        <f>IF(Dials!$B$12=0,0,E33/Dials!$B$12)</f>
        <v/>
      </c>
    </row>
    <row r="34">
      <c r="A34" s="4" t="n">
        <v>32</v>
      </c>
      <c r="B34" s="16">
        <f>ROUND(MIN(Dials!$B$9,Dials!$B$8+(Dials!$B$9-Dials!$B$8)*MIN(1,(A34-1)/Dials!$B$10)),0)</f>
        <v/>
      </c>
      <c r="C34" s="17">
        <f>ROUND(D33*Dials!$B$11,1)</f>
        <v/>
      </c>
      <c r="D34" s="16">
        <f>MAX(0,D33+B34-C34)</f>
        <v/>
      </c>
      <c r="E34" s="18">
        <f>D34*Dials!$B$5</f>
        <v/>
      </c>
      <c r="F34" s="18">
        <f>E34*12</f>
        <v/>
      </c>
      <c r="G34" s="18">
        <f>D34*Dials!$B$6</f>
        <v/>
      </c>
      <c r="H34" s="18">
        <f>E34-G34</f>
        <v/>
      </c>
      <c r="I34" s="18">
        <f>Dials!$B$7</f>
        <v/>
      </c>
      <c r="J34" s="18">
        <f>H34-I34</f>
        <v/>
      </c>
      <c r="K34" s="18">
        <f>K33+J34</f>
        <v/>
      </c>
      <c r="L34" s="19">
        <f>IF(Dials!$B$12=0,0,E34/Dials!$B$12)</f>
        <v/>
      </c>
    </row>
    <row r="35">
      <c r="A35" s="4" t="n">
        <v>33</v>
      </c>
      <c r="B35" s="16">
        <f>ROUND(MIN(Dials!$B$9,Dials!$B$8+(Dials!$B$9-Dials!$B$8)*MIN(1,(A35-1)/Dials!$B$10)),0)</f>
        <v/>
      </c>
      <c r="C35" s="17">
        <f>ROUND(D34*Dials!$B$11,1)</f>
        <v/>
      </c>
      <c r="D35" s="16">
        <f>MAX(0,D34+B35-C35)</f>
        <v/>
      </c>
      <c r="E35" s="18">
        <f>D35*Dials!$B$5</f>
        <v/>
      </c>
      <c r="F35" s="18">
        <f>E35*12</f>
        <v/>
      </c>
      <c r="G35" s="18">
        <f>D35*Dials!$B$6</f>
        <v/>
      </c>
      <c r="H35" s="18">
        <f>E35-G35</f>
        <v/>
      </c>
      <c r="I35" s="18">
        <f>Dials!$B$7</f>
        <v/>
      </c>
      <c r="J35" s="18">
        <f>H35-I35</f>
        <v/>
      </c>
      <c r="K35" s="18">
        <f>K34+J35</f>
        <v/>
      </c>
      <c r="L35" s="19">
        <f>IF(Dials!$B$12=0,0,E35/Dials!$B$12)</f>
        <v/>
      </c>
    </row>
    <row r="36">
      <c r="A36" s="4" t="n">
        <v>34</v>
      </c>
      <c r="B36" s="16">
        <f>ROUND(MIN(Dials!$B$9,Dials!$B$8+(Dials!$B$9-Dials!$B$8)*MIN(1,(A36-1)/Dials!$B$10)),0)</f>
        <v/>
      </c>
      <c r="C36" s="17">
        <f>ROUND(D35*Dials!$B$11,1)</f>
        <v/>
      </c>
      <c r="D36" s="16">
        <f>MAX(0,D35+B36-C36)</f>
        <v/>
      </c>
      <c r="E36" s="18">
        <f>D36*Dials!$B$5</f>
        <v/>
      </c>
      <c r="F36" s="18">
        <f>E36*12</f>
        <v/>
      </c>
      <c r="G36" s="18">
        <f>D36*Dials!$B$6</f>
        <v/>
      </c>
      <c r="H36" s="18">
        <f>E36-G36</f>
        <v/>
      </c>
      <c r="I36" s="18">
        <f>Dials!$B$7</f>
        <v/>
      </c>
      <c r="J36" s="18">
        <f>H36-I36</f>
        <v/>
      </c>
      <c r="K36" s="18">
        <f>K35+J36</f>
        <v/>
      </c>
      <c r="L36" s="19">
        <f>IF(Dials!$B$12=0,0,E36/Dials!$B$12)</f>
        <v/>
      </c>
    </row>
    <row r="37">
      <c r="A37" s="4" t="n">
        <v>35</v>
      </c>
      <c r="B37" s="16">
        <f>ROUND(MIN(Dials!$B$9,Dials!$B$8+(Dials!$B$9-Dials!$B$8)*MIN(1,(A37-1)/Dials!$B$10)),0)</f>
        <v/>
      </c>
      <c r="C37" s="17">
        <f>ROUND(D36*Dials!$B$11,1)</f>
        <v/>
      </c>
      <c r="D37" s="16">
        <f>MAX(0,D36+B37-C37)</f>
        <v/>
      </c>
      <c r="E37" s="18">
        <f>D37*Dials!$B$5</f>
        <v/>
      </c>
      <c r="F37" s="18">
        <f>E37*12</f>
        <v/>
      </c>
      <c r="G37" s="18">
        <f>D37*Dials!$B$6</f>
        <v/>
      </c>
      <c r="H37" s="18">
        <f>E37-G37</f>
        <v/>
      </c>
      <c r="I37" s="18">
        <f>Dials!$B$7</f>
        <v/>
      </c>
      <c r="J37" s="18">
        <f>H37-I37</f>
        <v/>
      </c>
      <c r="K37" s="18">
        <f>K36+J37</f>
        <v/>
      </c>
      <c r="L37" s="19">
        <f>IF(Dials!$B$12=0,0,E37/Dials!$B$12)</f>
        <v/>
      </c>
    </row>
    <row r="38">
      <c r="A38" s="4" t="n">
        <v>36</v>
      </c>
      <c r="B38" s="16">
        <f>ROUND(MIN(Dials!$B$9,Dials!$B$8+(Dials!$B$9-Dials!$B$8)*MIN(1,(A38-1)/Dials!$B$10)),0)</f>
        <v/>
      </c>
      <c r="C38" s="17">
        <f>ROUND(D37*Dials!$B$11,1)</f>
        <v/>
      </c>
      <c r="D38" s="16">
        <f>MAX(0,D37+B38-C38)</f>
        <v/>
      </c>
      <c r="E38" s="18">
        <f>D38*Dials!$B$5</f>
        <v/>
      </c>
      <c r="F38" s="18">
        <f>E38*12</f>
        <v/>
      </c>
      <c r="G38" s="18">
        <f>D38*Dials!$B$6</f>
        <v/>
      </c>
      <c r="H38" s="18">
        <f>E38-G38</f>
        <v/>
      </c>
      <c r="I38" s="18">
        <f>Dials!$B$7</f>
        <v/>
      </c>
      <c r="J38" s="18">
        <f>H38-I38</f>
        <v/>
      </c>
      <c r="K38" s="18">
        <f>K37+J38</f>
        <v/>
      </c>
      <c r="L38" s="19">
        <f>IF(Dials!$B$12=0,0,E38/Dials!$B$12)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5" t="inlineStr">
        <is>
          <t>Steady-state customer ceiling: adds per month ÷ monthly churn</t>
        </is>
      </c>
    </row>
    <row r="2">
      <c r="A2" s="2" t="inlineStr">
        <is>
          <t>Churn across the top, monthly adds down the side. Red = below the break-even count, which means the business never reaches its target no matter how long it runs.</t>
        </is>
      </c>
    </row>
    <row r="4">
      <c r="A4" s="20" t="inlineStr">
        <is>
          <t>adds \ churn</t>
        </is>
      </c>
      <c r="B4" s="21" t="n">
        <v>0.02</v>
      </c>
      <c r="C4" s="21" t="n">
        <v>0.03</v>
      </c>
      <c r="D4" s="21" t="n">
        <v>0.04</v>
      </c>
      <c r="E4" s="21" t="n">
        <v>0.05</v>
      </c>
      <c r="F4" s="21" t="n">
        <v>0.06</v>
      </c>
      <c r="G4" s="21" t="n">
        <v>0.08</v>
      </c>
      <c r="H4" s="21" t="n">
        <v>0.1</v>
      </c>
    </row>
    <row r="5">
      <c r="A5" s="22" t="n">
        <v>2</v>
      </c>
      <c r="B5" s="23">
        <f>ROUND($A5/B$4,0)</f>
        <v/>
      </c>
      <c r="C5" s="23">
        <f>ROUND($A5/C$4,0)</f>
        <v/>
      </c>
      <c r="D5" s="23">
        <f>ROUND($A5/D$4,0)</f>
        <v/>
      </c>
      <c r="E5" s="23">
        <f>ROUND($A5/E$4,0)</f>
        <v/>
      </c>
      <c r="F5" s="23">
        <f>ROUND($A5/F$4,0)</f>
        <v/>
      </c>
      <c r="G5" s="23">
        <f>ROUND($A5/G$4,0)</f>
        <v/>
      </c>
      <c r="H5" s="23">
        <f>ROUND($A5/H$4,0)</f>
        <v/>
      </c>
    </row>
    <row r="6">
      <c r="A6" s="22" t="n">
        <v>3</v>
      </c>
      <c r="B6" s="23">
        <f>ROUND($A6/B$4,0)</f>
        <v/>
      </c>
      <c r="C6" s="23">
        <f>ROUND($A6/C$4,0)</f>
        <v/>
      </c>
      <c r="D6" s="23">
        <f>ROUND($A6/D$4,0)</f>
        <v/>
      </c>
      <c r="E6" s="23">
        <f>ROUND($A6/E$4,0)</f>
        <v/>
      </c>
      <c r="F6" s="23">
        <f>ROUND($A6/F$4,0)</f>
        <v/>
      </c>
      <c r="G6" s="23">
        <f>ROUND($A6/G$4,0)</f>
        <v/>
      </c>
      <c r="H6" s="23">
        <f>ROUND($A6/H$4,0)</f>
        <v/>
      </c>
    </row>
    <row r="7">
      <c r="A7" s="22" t="n">
        <v>4</v>
      </c>
      <c r="B7" s="23">
        <f>ROUND($A7/B$4,0)</f>
        <v/>
      </c>
      <c r="C7" s="23">
        <f>ROUND($A7/C$4,0)</f>
        <v/>
      </c>
      <c r="D7" s="23">
        <f>ROUND($A7/D$4,0)</f>
        <v/>
      </c>
      <c r="E7" s="23">
        <f>ROUND($A7/E$4,0)</f>
        <v/>
      </c>
      <c r="F7" s="23">
        <f>ROUND($A7/F$4,0)</f>
        <v/>
      </c>
      <c r="G7" s="23">
        <f>ROUND($A7/G$4,0)</f>
        <v/>
      </c>
      <c r="H7" s="23">
        <f>ROUND($A7/H$4,0)</f>
        <v/>
      </c>
    </row>
    <row r="8">
      <c r="A8" s="22" t="n">
        <v>5</v>
      </c>
      <c r="B8" s="23">
        <f>ROUND($A8/B$4,0)</f>
        <v/>
      </c>
      <c r="C8" s="23">
        <f>ROUND($A8/C$4,0)</f>
        <v/>
      </c>
      <c r="D8" s="23">
        <f>ROUND($A8/D$4,0)</f>
        <v/>
      </c>
      <c r="E8" s="23">
        <f>ROUND($A8/E$4,0)</f>
        <v/>
      </c>
      <c r="F8" s="23">
        <f>ROUND($A8/F$4,0)</f>
        <v/>
      </c>
      <c r="G8" s="23">
        <f>ROUND($A8/G$4,0)</f>
        <v/>
      </c>
      <c r="H8" s="23">
        <f>ROUND($A8/H$4,0)</f>
        <v/>
      </c>
    </row>
    <row r="9">
      <c r="A9" s="22" t="n">
        <v>6</v>
      </c>
      <c r="B9" s="23">
        <f>ROUND($A9/B$4,0)</f>
        <v/>
      </c>
      <c r="C9" s="23">
        <f>ROUND($A9/C$4,0)</f>
        <v/>
      </c>
      <c r="D9" s="23">
        <f>ROUND($A9/D$4,0)</f>
        <v/>
      </c>
      <c r="E9" s="23">
        <f>ROUND($A9/E$4,0)</f>
        <v/>
      </c>
      <c r="F9" s="23">
        <f>ROUND($A9/F$4,0)</f>
        <v/>
      </c>
      <c r="G9" s="23">
        <f>ROUND($A9/G$4,0)</f>
        <v/>
      </c>
      <c r="H9" s="23">
        <f>ROUND($A9/H$4,0)</f>
        <v/>
      </c>
    </row>
    <row r="10">
      <c r="A10" s="22" t="n">
        <v>8</v>
      </c>
      <c r="B10" s="23">
        <f>ROUND($A10/B$4,0)</f>
        <v/>
      </c>
      <c r="C10" s="23">
        <f>ROUND($A10/C$4,0)</f>
        <v/>
      </c>
      <c r="D10" s="23">
        <f>ROUND($A10/D$4,0)</f>
        <v/>
      </c>
      <c r="E10" s="23">
        <f>ROUND($A10/E$4,0)</f>
        <v/>
      </c>
      <c r="F10" s="23">
        <f>ROUND($A10/F$4,0)</f>
        <v/>
      </c>
      <c r="G10" s="23">
        <f>ROUND($A10/G$4,0)</f>
        <v/>
      </c>
      <c r="H10" s="23">
        <f>ROUND($A10/H$4,0)</f>
        <v/>
      </c>
    </row>
    <row r="11">
      <c r="A11" s="22" t="n">
        <v>10</v>
      </c>
      <c r="B11" s="23">
        <f>ROUND($A11/B$4,0)</f>
        <v/>
      </c>
      <c r="C11" s="23">
        <f>ROUND($A11/C$4,0)</f>
        <v/>
      </c>
      <c r="D11" s="23">
        <f>ROUND($A11/D$4,0)</f>
        <v/>
      </c>
      <c r="E11" s="23">
        <f>ROUND($A11/E$4,0)</f>
        <v/>
      </c>
      <c r="F11" s="23">
        <f>ROUND($A11/F$4,0)</f>
        <v/>
      </c>
      <c r="G11" s="23">
        <f>ROUND($A11/G$4,0)</f>
        <v/>
      </c>
      <c r="H11" s="23">
        <f>ROUND($A11/H$4,0)</f>
        <v/>
      </c>
    </row>
    <row r="12">
      <c r="A12" s="22" t="n">
        <v>12</v>
      </c>
      <c r="B12" s="23">
        <f>ROUND($A12/B$4,0)</f>
        <v/>
      </c>
      <c r="C12" s="23">
        <f>ROUND($A12/C$4,0)</f>
        <v/>
      </c>
      <c r="D12" s="23">
        <f>ROUND($A12/D$4,0)</f>
        <v/>
      </c>
      <c r="E12" s="23">
        <f>ROUND($A12/E$4,0)</f>
        <v/>
      </c>
      <c r="F12" s="23">
        <f>ROUND($A12/F$4,0)</f>
        <v/>
      </c>
      <c r="G12" s="23">
        <f>ROUND($A12/G$4,0)</f>
        <v/>
      </c>
      <c r="H12" s="23">
        <f>ROUND($A12/H$4,0)</f>
        <v/>
      </c>
    </row>
    <row r="13">
      <c r="A13" s="22" t="n">
        <v>15</v>
      </c>
      <c r="B13" s="23">
        <f>ROUND($A13/B$4,0)</f>
        <v/>
      </c>
      <c r="C13" s="23">
        <f>ROUND($A13/C$4,0)</f>
        <v/>
      </c>
      <c r="D13" s="23">
        <f>ROUND($A13/D$4,0)</f>
        <v/>
      </c>
      <c r="E13" s="23">
        <f>ROUND($A13/E$4,0)</f>
        <v/>
      </c>
      <c r="F13" s="23">
        <f>ROUND($A13/F$4,0)</f>
        <v/>
      </c>
      <c r="G13" s="23">
        <f>ROUND($A13/G$4,0)</f>
        <v/>
      </c>
      <c r="H13" s="23">
        <f>ROUND($A13/H$4,0)</f>
        <v/>
      </c>
    </row>
    <row r="15">
      <c r="A15" s="24" t="inlineStr">
        <is>
          <t>Break-even customer count for reference: 101 customers at $299/mo = $30,199/mo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5" t="inlineStr">
        <is>
          <t>What is measured, what is assumed</t>
        </is>
      </c>
    </row>
    <row r="3">
      <c r="A3" s="26" t="inlineStr">
        <is>
          <t>[MEASURED] 1,708 active Texas public adjuster licences as of 2026-08-28, from the Texas Department of Insurance open data file. 981 resident in Texas, 727 licensed here but living elsewhere, 293 of those in Florida. Houston has 112 resident licensees.</t>
        </is>
      </c>
    </row>
    <row r="5">
      <c r="A5" s="26" t="inlineStr">
        <is>
          <t>[MEASURED] New licences issued: 160 in 2023, 323 in 2024, 274 in 2025, 187 to August 2026. The 2024-25 cohort is 597 people and is the primary launch target.</t>
        </is>
      </c>
    </row>
    <row r="7">
      <c r="A7" s="26" t="inlineStr">
        <is>
          <t>[RECOSTED 2026-08-31] Real cost to serve is about $10.60/customer/month at 100 customers on the $299 Practice tier: $1.20 of model inference, $8.97 of card processing, and about $0.47 of everything else. The inference figure is computed in api_cost.py from the pipeline the engine actually runs, not estimated -- retrieval is deterministic, so only candidate passage pairs reach a model and cost scales with pairs rather than page count. It replaces an earlier $9 guess that was 7.5x too high. Note what that leaves: card processing is now 85% of cost to serve, so annual billing and ACH on the Firm tier matter more to margin than any model choice. The dial stays at $45 as deliberate headroom, because flat pricing absorbs heavy users and a firm running thousand-page productions costs several times a light one. If the true figure were $120, gross margin would fall from 94% to 60% and the price would need to rise.</t>
        </is>
      </c>
    </row>
    <row r="9">
      <c r="A9" s="26" t="inlineStr">
        <is>
          <t>[ASSUMPTION] Steady-state adds of 9/month. No channel has been run yet. This is the second most fragile number here.</t>
        </is>
      </c>
    </row>
    <row r="11">
      <c r="A11" s="26" t="inlineStr">
        <is>
          <t>[ASSUMPTION] Churn of 4.5%/month. No data. Solo-professional software is generally worse than team software, and a public adjuster with no storm has no cases in March.</t>
        </is>
      </c>
    </row>
    <row r="13">
      <c r="A13" s="26" t="inlineStr">
        <is>
          <t>[NOT ESTABLISHED] Special education advocates and patient advocates cannot be counted at all -- neither is a licensed profession with a public register. The market dial covers Texas public adjusters ONLY, which makes the market-share figure conservative but also means two of three segments are unmodelled.</t>
        </is>
      </c>
    </row>
    <row r="15">
      <c r="A15" s="26" t="inlineStr">
        <is>
          <t>[CAUTION] Do not add state registries together. An adjuster licensed in Texas is frequently also licensed in Florida and Illinois. The national de-duplicated total is much smaller than the sum of the states.</t>
        </is>
      </c>
    </row>
    <row r="17">
      <c r="A17" s="26" t="inlineStr">
        <is>
          <t>[THE CELL TO WATCH] Summary!B6, the steady-state ceiling. Adds divided by churn. If that number is below the break-even customer count, the business never reaches its target however long it runs -- churn eats it first. At 9 adds and 4.5% churn the ceiling is 200, comfortably above 101. At 5 adds and 6% churn it is 83, and the business fails. That is the whole risk in one cell.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2026-08-31T19:01:18Z</dcterms:created>
  <dcterms:modified xsi:type="dcterms:W3CDTF">2026-08-31T19:01:18Z</dcterms:modified>
</cp:coreProperties>
</file>